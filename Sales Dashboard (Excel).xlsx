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24226"/>
  <mc:AlternateContent xmlns:mc="http://schemas.openxmlformats.org/markup-compatibility/2006">
    <mc:Choice Requires="x15">
      <x15ac:absPath xmlns:x15ac="http://schemas.microsoft.com/office/spreadsheetml/2010/11/ac" url="C:\DS Projects\"/>
    </mc:Choice>
  </mc:AlternateContent>
  <xr:revisionPtr revIDLastSave="0" documentId="13_ncr:1_{B40052CC-8B85-4AC4-8192-30BC6A1F60B2}" xr6:coauthVersionLast="47" xr6:coauthVersionMax="47" xr10:uidLastSave="{00000000-0000-0000-0000-000000000000}"/>
  <bookViews>
    <workbookView xWindow="-108" yWindow="-108" windowWidth="23256" windowHeight="12456" xr2:uid="{00000000-000D-0000-FFFF-FFFF00000000}"/>
  </bookViews>
  <sheets>
    <sheet name="Dashboard" sheetId="3" r:id="rId1"/>
    <sheet name="Sales Data" sheetId="1" r:id="rId2"/>
    <sheet name="Pivot Tables" sheetId="2" r:id="rId3"/>
  </sheets>
  <definedNames>
    <definedName name="Slicer_Product">#N/A</definedName>
    <definedName name="Slicer_Region">#N/A</definedName>
    <definedName name="Slicer_Sales_Pers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8" i="1" l="1"/>
  <c r="K6" i="1"/>
  <c r="K4" i="1"/>
  <c r="K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2" i="1"/>
</calcChain>
</file>

<file path=xl/sharedStrings.xml><?xml version="1.0" encoding="utf-8"?>
<sst xmlns="http://schemas.openxmlformats.org/spreadsheetml/2006/main" count="2089" uniqueCount="179">
  <si>
    <t>Date</t>
  </si>
  <si>
    <t>Sales Person</t>
  </si>
  <si>
    <t>Region</t>
  </si>
  <si>
    <t>Product</t>
  </si>
  <si>
    <t>Units Sold</t>
  </si>
  <si>
    <t>Unit Price</t>
  </si>
  <si>
    <t>Cost of Goods</t>
  </si>
  <si>
    <t>Total Sales</t>
  </si>
  <si>
    <t>2024-01-30</t>
  </si>
  <si>
    <t>2024-01-21</t>
  </si>
  <si>
    <t>2024-02-09</t>
  </si>
  <si>
    <t>2024-01-27</t>
  </si>
  <si>
    <t>2024-02-18</t>
  </si>
  <si>
    <t>2024-02-25</t>
  </si>
  <si>
    <t>2024-02-29</t>
  </si>
  <si>
    <t>2024-02-14</t>
  </si>
  <si>
    <t>2024-02-06</t>
  </si>
  <si>
    <t>2024-03-03</t>
  </si>
  <si>
    <t>2024-01-15</t>
  </si>
  <si>
    <t>2024-03-07</t>
  </si>
  <si>
    <t>2024-03-11</t>
  </si>
  <si>
    <t>2024-01-03</t>
  </si>
  <si>
    <t>2024-04-20</t>
  </si>
  <si>
    <t>2024-04-15</t>
  </si>
  <si>
    <t>2024-03-05</t>
  </si>
  <si>
    <t>2024-04-13</t>
  </si>
  <si>
    <t>2024-02-12</t>
  </si>
  <si>
    <t>2024-03-29</t>
  </si>
  <si>
    <t>2024-02-19</t>
  </si>
  <si>
    <t>2024-04-16</t>
  </si>
  <si>
    <t>2024-02-01</t>
  </si>
  <si>
    <t>2024-03-21</t>
  </si>
  <si>
    <t>2024-01-24</t>
  </si>
  <si>
    <t>2024-01-31</t>
  </si>
  <si>
    <t>2024-01-22</t>
  </si>
  <si>
    <t>2024-02-16</t>
  </si>
  <si>
    <t>2024-01-12</t>
  </si>
  <si>
    <t>2024-03-02</t>
  </si>
  <si>
    <t>2024-02-28</t>
  </si>
  <si>
    <t>2024-03-25</t>
  </si>
  <si>
    <t>2024-04-24</t>
  </si>
  <si>
    <t>2024-02-27</t>
  </si>
  <si>
    <t>2024-03-16</t>
  </si>
  <si>
    <t>2024-04-10</t>
  </si>
  <si>
    <t>2024-02-04</t>
  </si>
  <si>
    <t>2024-04-04</t>
  </si>
  <si>
    <t>2024-04-22</t>
  </si>
  <si>
    <t>2024-04-12</t>
  </si>
  <si>
    <t>2024-04-26</t>
  </si>
  <si>
    <t>2024-03-01</t>
  </si>
  <si>
    <t>2024-03-17</t>
  </si>
  <si>
    <t>2024-01-07</t>
  </si>
  <si>
    <t>2024-01-06</t>
  </si>
  <si>
    <t>2024-01-17</t>
  </si>
  <si>
    <t>2024-01-04</t>
  </si>
  <si>
    <t>2024-01-23</t>
  </si>
  <si>
    <t>2024-01-10</t>
  </si>
  <si>
    <t>2024-03-09</t>
  </si>
  <si>
    <t>2024-02-10</t>
  </si>
  <si>
    <t>2024-01-16</t>
  </si>
  <si>
    <t>2024-02-17</t>
  </si>
  <si>
    <t>2024-01-28</t>
  </si>
  <si>
    <t>2024-02-24</t>
  </si>
  <si>
    <t>2024-02-22</t>
  </si>
  <si>
    <t>2024-02-20</t>
  </si>
  <si>
    <t>2024-02-08</t>
  </si>
  <si>
    <t>2024-03-12</t>
  </si>
  <si>
    <t>2024-01-29</t>
  </si>
  <si>
    <t>2024-02-07</t>
  </si>
  <si>
    <t>2024-03-28</t>
  </si>
  <si>
    <t>2024-01-18</t>
  </si>
  <si>
    <t>2024-02-26</t>
  </si>
  <si>
    <t>2024-04-07</t>
  </si>
  <si>
    <t>2024-02-03</t>
  </si>
  <si>
    <t>2024-04-09</t>
  </si>
  <si>
    <t>2024-04-19</t>
  </si>
  <si>
    <t>2024-03-08</t>
  </si>
  <si>
    <t>2024-03-10</t>
  </si>
  <si>
    <t>2024-01-11</t>
  </si>
  <si>
    <t>2024-04-29</t>
  </si>
  <si>
    <t>2024-04-14</t>
  </si>
  <si>
    <t>2024-01-08</t>
  </si>
  <si>
    <t>2024-03-14</t>
  </si>
  <si>
    <t>2024-04-27</t>
  </si>
  <si>
    <t>2024-01-14</t>
  </si>
  <si>
    <t>2024-01-25</t>
  </si>
  <si>
    <t>2024-03-30</t>
  </si>
  <si>
    <t>2024-01-20</t>
  </si>
  <si>
    <t>2024-01-05</t>
  </si>
  <si>
    <t>2024-02-21</t>
  </si>
  <si>
    <t>2024-04-25</t>
  </si>
  <si>
    <t>2024-03-22</t>
  </si>
  <si>
    <t>2024-01-19</t>
  </si>
  <si>
    <t>2024-03-20</t>
  </si>
  <si>
    <t>2024-01-02</t>
  </si>
  <si>
    <t>2024-03-31</t>
  </si>
  <si>
    <t>2024-01-26</t>
  </si>
  <si>
    <t>2024-04-17</t>
  </si>
  <si>
    <t>2024-03-26</t>
  </si>
  <si>
    <t>2024-02-05</t>
  </si>
  <si>
    <t>2024-04-11</t>
  </si>
  <si>
    <t>2024-03-18</t>
  </si>
  <si>
    <t>2024-04-30</t>
  </si>
  <si>
    <t>2024-04-23</t>
  </si>
  <si>
    <t>2024-01-13</t>
  </si>
  <si>
    <t>2024-03-19</t>
  </si>
  <si>
    <t>2024-04-28</t>
  </si>
  <si>
    <t>2024-02-02</t>
  </si>
  <si>
    <t>2024-04-18</t>
  </si>
  <si>
    <t>2024-01-01</t>
  </si>
  <si>
    <t>2024-04-21</t>
  </si>
  <si>
    <t>2024-04-02</t>
  </si>
  <si>
    <t>2024-03-27</t>
  </si>
  <si>
    <t>2024-03-15</t>
  </si>
  <si>
    <t>2024-03-06</t>
  </si>
  <si>
    <t>2024-04-05</t>
  </si>
  <si>
    <t>2024-02-11</t>
  </si>
  <si>
    <t>2024-03-23</t>
  </si>
  <si>
    <t>2024-04-06</t>
  </si>
  <si>
    <t>2024-01-09</t>
  </si>
  <si>
    <t>2024-02-13</t>
  </si>
  <si>
    <t>2024-04-01</t>
  </si>
  <si>
    <t>2024-02-23</t>
  </si>
  <si>
    <t>2024-04-03</t>
  </si>
  <si>
    <t>2024-04-08</t>
  </si>
  <si>
    <t>2024-03-24</t>
  </si>
  <si>
    <t>2024-02-15</t>
  </si>
  <si>
    <t>Aiden Miller</t>
  </si>
  <si>
    <t>Amelia Walker</t>
  </si>
  <si>
    <t>Ava Thompson</t>
  </si>
  <si>
    <t>Charlotte White</t>
  </si>
  <si>
    <t>Ella Hall</t>
  </si>
  <si>
    <t>Emma Johnson</t>
  </si>
  <si>
    <t>Ethan Wilson</t>
  </si>
  <si>
    <t>Evelyn Moore</t>
  </si>
  <si>
    <t>Harper Garcia</t>
  </si>
  <si>
    <t>Henry Young</t>
  </si>
  <si>
    <t>Isabella Davis</t>
  </si>
  <si>
    <t>James Allen</t>
  </si>
  <si>
    <t>Liam Carter</t>
  </si>
  <si>
    <t>Logan Taylor</t>
  </si>
  <si>
    <t>Lucas Harris</t>
  </si>
  <si>
    <t>Mason Lee</t>
  </si>
  <si>
    <t>Mia Anderson</t>
  </si>
  <si>
    <t>Noah Smith</t>
  </si>
  <si>
    <t>Oliver Martinez</t>
  </si>
  <si>
    <t>Sophia Clark</t>
  </si>
  <si>
    <t>South</t>
  </si>
  <si>
    <t>North</t>
  </si>
  <si>
    <t>East</t>
  </si>
  <si>
    <t>West</t>
  </si>
  <si>
    <t>Desk Lamp</t>
  </si>
  <si>
    <t>Bluetooth Speaker</t>
  </si>
  <si>
    <t>Water Bottle</t>
  </si>
  <si>
    <t>Phone Charger</t>
  </si>
  <si>
    <t>Running Shoes</t>
  </si>
  <si>
    <t>Cotton T-Shirt</t>
  </si>
  <si>
    <t>Study Desk</t>
  </si>
  <si>
    <t>Yoga Mat</t>
  </si>
  <si>
    <t>Bookshelf</t>
  </si>
  <si>
    <t>Notebook Pack</t>
  </si>
  <si>
    <t>Winter Jacket</t>
  </si>
  <si>
    <t>Hoodie</t>
  </si>
  <si>
    <t>Basketball</t>
  </si>
  <si>
    <t>Tennis Racket</t>
  </si>
  <si>
    <t>Ink Cartridge</t>
  </si>
  <si>
    <t>Laptop Stand</t>
  </si>
  <si>
    <t>Office Chair</t>
  </si>
  <si>
    <t>LED Monitor</t>
  </si>
  <si>
    <t>Wireless Mouse</t>
  </si>
  <si>
    <t>Highlighter Set</t>
  </si>
  <si>
    <t>Grand Total</t>
  </si>
  <si>
    <t>Profit</t>
  </si>
  <si>
    <t>Unit Sold</t>
  </si>
  <si>
    <t>Total Profit</t>
  </si>
  <si>
    <t>Average Sales</t>
  </si>
  <si>
    <t>Row Labels</t>
  </si>
  <si>
    <t>Sum of Total Sales</t>
  </si>
  <si>
    <t>Sum of Units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</si>
</sst>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3" x14ac:knownFonts="1">
    <font>
      <sz val="11"/>
      <color theme="1"/>
      <name val="Calibri"/>
      <family val="2"/>
      <scheme val="minor"/>
    </font>
    <font>
      <b/>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theme="3" tint="0.59999389629810485"/>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indexed="64"/>
      </left>
      <right/>
      <top/>
      <bottom/>
      <diagonal/>
    </border>
    <border>
      <left/>
      <right style="thin">
        <color auto="1"/>
      </right>
      <top style="thin">
        <color auto="1"/>
      </top>
      <bottom style="thin">
        <color auto="1"/>
      </bottom>
      <diagonal/>
    </border>
  </borders>
  <cellStyleXfs count="2">
    <xf numFmtId="0" fontId="0" fillId="0" borderId="0"/>
    <xf numFmtId="43" fontId="2" fillId="0" borderId="0" applyFont="0" applyFill="0" applyBorder="0" applyAlignment="0" applyProtection="0"/>
  </cellStyleXfs>
  <cellXfs count="11">
    <xf numFmtId="0" fontId="0" fillId="0" borderId="0" xfId="0"/>
    <xf numFmtId="0" fontId="0" fillId="0" borderId="1" xfId="0" applyBorder="1"/>
    <xf numFmtId="0" fontId="1" fillId="2" borderId="1" xfId="0" applyFont="1" applyFill="1" applyBorder="1" applyAlignment="1">
      <alignment horizontal="center" vertical="top"/>
    </xf>
    <xf numFmtId="0" fontId="1" fillId="2" borderId="2" xfId="0" applyFont="1" applyFill="1" applyBorder="1" applyAlignment="1">
      <alignment horizontal="center" vertical="top"/>
    </xf>
    <xf numFmtId="0" fontId="1" fillId="2" borderId="0" xfId="0" applyFont="1" applyFill="1" applyAlignment="1">
      <alignment horizontal="center" vertical="top"/>
    </xf>
    <xf numFmtId="0" fontId="1" fillId="2" borderId="0" xfId="0" applyFont="1" applyFill="1"/>
    <xf numFmtId="0" fontId="1" fillId="2" borderId="3" xfId="0" applyFont="1" applyFill="1" applyBorder="1" applyAlignment="1">
      <alignment horizontal="center" vertical="top"/>
    </xf>
    <xf numFmtId="0" fontId="0" fillId="0" borderId="3" xfId="0" applyBorder="1"/>
    <xf numFmtId="0" fontId="0" fillId="0" borderId="0" xfId="0" pivotButton="1"/>
    <xf numFmtId="0" fontId="0" fillId="0" borderId="0" xfId="0" applyAlignment="1">
      <alignment horizontal="left"/>
    </xf>
    <xf numFmtId="43" fontId="0" fillId="0" borderId="0" xfId="1" applyFont="1"/>
  </cellXfs>
  <cellStyles count="2">
    <cellStyle name="Comma" xfId="1" builtinId="3"/>
    <cellStyle name="Normal" xfId="0" builtinId="0"/>
  </cellStyles>
  <dxfs count="10">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right style="thin">
          <color auto="1"/>
        </right>
        <top style="thin">
          <color auto="1"/>
        </top>
        <bottom style="thin">
          <color auto="1"/>
        </bottom>
        <vertical/>
        <horizontal/>
      </border>
    </dxf>
    <dxf>
      <border outline="0">
        <left style="thin">
          <color auto="1"/>
        </left>
      </border>
    </dxf>
    <dxf>
      <font>
        <b/>
        <i val="0"/>
        <strike val="0"/>
        <condense val="0"/>
        <extend val="0"/>
        <outline val="0"/>
        <shadow val="0"/>
        <u val="none"/>
        <vertAlign val="baseline"/>
        <sz val="11"/>
        <color theme="1"/>
        <name val="Calibri"/>
        <family val="2"/>
        <scheme val="minor"/>
      </font>
      <fill>
        <patternFill patternType="solid">
          <fgColor indexed="64"/>
          <bgColor theme="3" tint="0.59999389629810485"/>
        </patternFill>
      </fill>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(Excel).xlsx]Pivot Tables!PivotTable4</c:name>
    <c:fmtId val="6"/>
  </c:pivotSource>
  <c:chart>
    <c:autoTitleDeleted val="1"/>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Tables'!$K$3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Tables'!$J$4:$J$24</c:f>
              <c:strCache>
                <c:ptCount val="20"/>
                <c:pt idx="0">
                  <c:v>Basketball</c:v>
                </c:pt>
                <c:pt idx="1">
                  <c:v>Bluetooth Speaker</c:v>
                </c:pt>
                <c:pt idx="2">
                  <c:v>Bookshelf</c:v>
                </c:pt>
                <c:pt idx="3">
                  <c:v>Cotton T-Shirt</c:v>
                </c:pt>
                <c:pt idx="4">
                  <c:v>Desk Lamp</c:v>
                </c:pt>
                <c:pt idx="5">
                  <c:v>Highlighter Set</c:v>
                </c:pt>
                <c:pt idx="6">
                  <c:v>Hoodie</c:v>
                </c:pt>
                <c:pt idx="7">
                  <c:v>Ink Cartridge</c:v>
                </c:pt>
                <c:pt idx="8">
                  <c:v>Laptop Stand</c:v>
                </c:pt>
                <c:pt idx="9">
                  <c:v>LED Monitor</c:v>
                </c:pt>
                <c:pt idx="10">
                  <c:v>Notebook Pack</c:v>
                </c:pt>
                <c:pt idx="11">
                  <c:v>Office Chair</c:v>
                </c:pt>
                <c:pt idx="12">
                  <c:v>Phone Charger</c:v>
                </c:pt>
                <c:pt idx="13">
                  <c:v>Running Shoes</c:v>
                </c:pt>
                <c:pt idx="14">
                  <c:v>Study Desk</c:v>
                </c:pt>
                <c:pt idx="15">
                  <c:v>Tennis Racket</c:v>
                </c:pt>
                <c:pt idx="16">
                  <c:v>Water Bottle</c:v>
                </c:pt>
                <c:pt idx="17">
                  <c:v>Winter Jacket</c:v>
                </c:pt>
                <c:pt idx="18">
                  <c:v>Wireless Mouse</c:v>
                </c:pt>
                <c:pt idx="19">
                  <c:v>Yoga Mat</c:v>
                </c:pt>
              </c:strCache>
            </c:strRef>
          </c:cat>
          <c:val>
            <c:numRef>
              <c:f>'Pivot Tables'!$K$4:$K$24</c:f>
              <c:numCache>
                <c:formatCode>General</c:formatCode>
                <c:ptCount val="20"/>
                <c:pt idx="0">
                  <c:v>70</c:v>
                </c:pt>
                <c:pt idx="1">
                  <c:v>77</c:v>
                </c:pt>
                <c:pt idx="2">
                  <c:v>56</c:v>
                </c:pt>
                <c:pt idx="3">
                  <c:v>72</c:v>
                </c:pt>
                <c:pt idx="4">
                  <c:v>73</c:v>
                </c:pt>
                <c:pt idx="5">
                  <c:v>82</c:v>
                </c:pt>
                <c:pt idx="6">
                  <c:v>76</c:v>
                </c:pt>
                <c:pt idx="7">
                  <c:v>79</c:v>
                </c:pt>
                <c:pt idx="8">
                  <c:v>73</c:v>
                </c:pt>
                <c:pt idx="9">
                  <c:v>61</c:v>
                </c:pt>
                <c:pt idx="10">
                  <c:v>67</c:v>
                </c:pt>
                <c:pt idx="11">
                  <c:v>72</c:v>
                </c:pt>
                <c:pt idx="12">
                  <c:v>94</c:v>
                </c:pt>
                <c:pt idx="13">
                  <c:v>71</c:v>
                </c:pt>
                <c:pt idx="14">
                  <c:v>95</c:v>
                </c:pt>
                <c:pt idx="15">
                  <c:v>59</c:v>
                </c:pt>
                <c:pt idx="16">
                  <c:v>53</c:v>
                </c:pt>
                <c:pt idx="17">
                  <c:v>91</c:v>
                </c:pt>
                <c:pt idx="18">
                  <c:v>61</c:v>
                </c:pt>
                <c:pt idx="19">
                  <c:v>80</c:v>
                </c:pt>
              </c:numCache>
            </c:numRef>
          </c:val>
          <c:smooth val="0"/>
          <c:extLst>
            <c:ext xmlns:c16="http://schemas.microsoft.com/office/drawing/2014/chart" uri="{C3380CC4-5D6E-409C-BE32-E72D297353CC}">
              <c16:uniqueId val="{00000000-3D55-47C4-9944-C110B41A83D4}"/>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217305487"/>
        <c:axId val="217306927"/>
      </c:lineChart>
      <c:catAx>
        <c:axId val="217305487"/>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217306927"/>
        <c:crosses val="autoZero"/>
        <c:auto val="1"/>
        <c:lblAlgn val="ctr"/>
        <c:lblOffset val="100"/>
        <c:noMultiLvlLbl val="0"/>
      </c:catAx>
      <c:valAx>
        <c:axId val="217306927"/>
        <c:scaling>
          <c:orientation val="minMax"/>
        </c:scaling>
        <c:delete val="1"/>
        <c:axPos val="l"/>
        <c:numFmt formatCode="General" sourceLinked="1"/>
        <c:majorTickMark val="none"/>
        <c:minorTickMark val="none"/>
        <c:tickLblPos val="nextTo"/>
        <c:crossAx val="217305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60000"/>
        <a:lumOff val="4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 Dashboard (Excel).xlsx]Pivot Tables!PivotTable1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r>
              <a:rPr lang="en-IN" baseline="0"/>
              <a:t> Sales by Region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5833333333333324"/>
              <c:y val="0.1157407407407406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722222222222222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6388888888888892"/>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5833333333333333"/>
              <c:y val="9.259259259259250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722222222222222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5833333333333324"/>
              <c:y val="0.1157407407407406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5833333333333333"/>
              <c:y val="9.259259259259250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6388888888888892"/>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hade val="58000"/>
            </a:schemeClr>
          </a:solidFill>
          <a:ln w="19050">
            <a:solidFill>
              <a:schemeClr val="lt1"/>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722222222222222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hade val="86000"/>
            </a:schemeClr>
          </a:solidFill>
          <a:ln w="19050">
            <a:solidFill>
              <a:schemeClr val="lt1"/>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5833333333333324"/>
              <c:y val="0.1157407407407406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tint val="86000"/>
            </a:schemeClr>
          </a:solidFill>
          <a:ln w="19050">
            <a:solidFill>
              <a:schemeClr val="lt1"/>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5833333333333333"/>
              <c:y val="9.259259259259250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tint val="58000"/>
            </a:schemeClr>
          </a:solidFill>
          <a:ln w="19050">
            <a:solidFill>
              <a:schemeClr val="lt1"/>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6388888888888892"/>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Tables'!$B$3</c:f>
              <c:strCache>
                <c:ptCount val="1"/>
                <c:pt idx="0">
                  <c:v>Total</c:v>
                </c:pt>
              </c:strCache>
            </c:strRef>
          </c:tx>
          <c:spPr>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idx val="0"/>
            <c:bubble3D val="0"/>
            <c:spPr>
              <a:solidFill>
                <a:schemeClr val="accent1">
                  <a:shade val="58000"/>
                </a:schemeClr>
              </a:solidFill>
              <a:ln w="19050">
                <a:solidFill>
                  <a:schemeClr val="lt1"/>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BEBF-40EE-B047-8663687980EC}"/>
              </c:ext>
            </c:extLst>
          </c:dPt>
          <c:dPt>
            <c:idx val="1"/>
            <c:bubble3D val="0"/>
            <c:spPr>
              <a:solidFill>
                <a:schemeClr val="accent1">
                  <a:shade val="86000"/>
                </a:schemeClr>
              </a:solidFill>
              <a:ln w="19050">
                <a:solidFill>
                  <a:schemeClr val="lt1"/>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BEBF-40EE-B047-8663687980EC}"/>
              </c:ext>
            </c:extLst>
          </c:dPt>
          <c:dPt>
            <c:idx val="2"/>
            <c:bubble3D val="0"/>
            <c:spPr>
              <a:solidFill>
                <a:schemeClr val="accent1">
                  <a:tint val="86000"/>
                </a:schemeClr>
              </a:solidFill>
              <a:ln w="19050">
                <a:solidFill>
                  <a:schemeClr val="lt1"/>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BEBF-40EE-B047-8663687980EC}"/>
              </c:ext>
            </c:extLst>
          </c:dPt>
          <c:dPt>
            <c:idx val="3"/>
            <c:bubble3D val="0"/>
            <c:spPr>
              <a:solidFill>
                <a:schemeClr val="accent1">
                  <a:tint val="58000"/>
                </a:schemeClr>
              </a:solidFill>
              <a:ln w="19050">
                <a:solidFill>
                  <a:schemeClr val="lt1"/>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BEBF-40EE-B047-8663687980EC}"/>
              </c:ext>
            </c:extLst>
          </c:dPt>
          <c:dLbls>
            <c:dLbl>
              <c:idx val="0"/>
              <c:layout>
                <c:manualLayout>
                  <c:x val="0.17222222222222222"/>
                  <c:y val="-1.38888888888888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EBF-40EE-B047-8663687980EC}"/>
                </c:ext>
              </c:extLst>
            </c:dLbl>
            <c:dLbl>
              <c:idx val="1"/>
              <c:layout>
                <c:manualLayout>
                  <c:x val="0.15833333333333324"/>
                  <c:y val="0.1157407407407406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EBF-40EE-B047-8663687980EC}"/>
                </c:ext>
              </c:extLst>
            </c:dLbl>
            <c:dLbl>
              <c:idx val="2"/>
              <c:layout>
                <c:manualLayout>
                  <c:x val="-0.15833333333333333"/>
                  <c:y val="9.259259259259250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EBF-40EE-B047-8663687980EC}"/>
                </c:ext>
              </c:extLst>
            </c:dLbl>
            <c:dLbl>
              <c:idx val="3"/>
              <c:layout>
                <c:manualLayout>
                  <c:x val="-0.16388888888888892"/>
                  <c:y val="-5.09259259259259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EBF-40EE-B047-8663687980E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Tables'!$A$4:$A$8</c:f>
              <c:strCache>
                <c:ptCount val="4"/>
                <c:pt idx="0">
                  <c:v>East</c:v>
                </c:pt>
                <c:pt idx="1">
                  <c:v>North</c:v>
                </c:pt>
                <c:pt idx="2">
                  <c:v>South</c:v>
                </c:pt>
                <c:pt idx="3">
                  <c:v>West</c:v>
                </c:pt>
              </c:strCache>
            </c:strRef>
          </c:cat>
          <c:val>
            <c:numRef>
              <c:f>'Pivot Tables'!$B$4:$B$8</c:f>
              <c:numCache>
                <c:formatCode>General</c:formatCode>
                <c:ptCount val="4"/>
                <c:pt idx="0">
                  <c:v>14325.469999999987</c:v>
                </c:pt>
                <c:pt idx="1">
                  <c:v>17284.929999999989</c:v>
                </c:pt>
                <c:pt idx="2">
                  <c:v>16508.869999999988</c:v>
                </c:pt>
                <c:pt idx="3">
                  <c:v>17369.909999999985</c:v>
                </c:pt>
              </c:numCache>
            </c:numRef>
          </c:val>
          <c:extLst>
            <c:ext xmlns:c16="http://schemas.microsoft.com/office/drawing/2014/chart" uri="{C3380CC4-5D6E-409C-BE32-E72D297353CC}">
              <c16:uniqueId val="{00000008-BEBF-40EE-B047-8663687980EC}"/>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(Excel).xlsx]Pivot Tables!PivotTable2</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Tables'!$E$3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Tables'!$D$4:$D$24</c:f>
              <c:strCache>
                <c:ptCount val="20"/>
                <c:pt idx="0">
                  <c:v>Basketball</c:v>
                </c:pt>
                <c:pt idx="1">
                  <c:v>Bluetooth Speaker</c:v>
                </c:pt>
                <c:pt idx="2">
                  <c:v>Bookshelf</c:v>
                </c:pt>
                <c:pt idx="3">
                  <c:v>Cotton T-Shirt</c:v>
                </c:pt>
                <c:pt idx="4">
                  <c:v>Desk Lamp</c:v>
                </c:pt>
                <c:pt idx="5">
                  <c:v>Highlighter Set</c:v>
                </c:pt>
                <c:pt idx="6">
                  <c:v>Hoodie</c:v>
                </c:pt>
                <c:pt idx="7">
                  <c:v>Ink Cartridge</c:v>
                </c:pt>
                <c:pt idx="8">
                  <c:v>Laptop Stand</c:v>
                </c:pt>
                <c:pt idx="9">
                  <c:v>LED Monitor</c:v>
                </c:pt>
                <c:pt idx="10">
                  <c:v>Notebook Pack</c:v>
                </c:pt>
                <c:pt idx="11">
                  <c:v>Office Chair</c:v>
                </c:pt>
                <c:pt idx="12">
                  <c:v>Phone Charger</c:v>
                </c:pt>
                <c:pt idx="13">
                  <c:v>Running Shoes</c:v>
                </c:pt>
                <c:pt idx="14">
                  <c:v>Study Desk</c:v>
                </c:pt>
                <c:pt idx="15">
                  <c:v>Tennis Racket</c:v>
                </c:pt>
                <c:pt idx="16">
                  <c:v>Water Bottle</c:v>
                </c:pt>
                <c:pt idx="17">
                  <c:v>Winter Jacket</c:v>
                </c:pt>
                <c:pt idx="18">
                  <c:v>Wireless Mouse</c:v>
                </c:pt>
                <c:pt idx="19">
                  <c:v>Yoga Mat</c:v>
                </c:pt>
              </c:strCache>
            </c:strRef>
          </c:cat>
          <c:val>
            <c:numRef>
              <c:f>'Pivot Tables'!$E$4:$E$24</c:f>
              <c:numCache>
                <c:formatCode>General</c:formatCode>
                <c:ptCount val="20"/>
                <c:pt idx="0">
                  <c:v>1049.3000000000002</c:v>
                </c:pt>
                <c:pt idx="1">
                  <c:v>3465</c:v>
                </c:pt>
                <c:pt idx="2">
                  <c:v>8120</c:v>
                </c:pt>
                <c:pt idx="3">
                  <c:v>719.2800000000002</c:v>
                </c:pt>
                <c:pt idx="4">
                  <c:v>1678.2700000000004</c:v>
                </c:pt>
                <c:pt idx="5">
                  <c:v>245.18</c:v>
                </c:pt>
                <c:pt idx="6">
                  <c:v>2659.2399999999993</c:v>
                </c:pt>
                <c:pt idx="7">
                  <c:v>1422</c:v>
                </c:pt>
                <c:pt idx="8">
                  <c:v>1825</c:v>
                </c:pt>
                <c:pt idx="9">
                  <c:v>7929.3899999999985</c:v>
                </c:pt>
                <c:pt idx="10">
                  <c:v>234.5</c:v>
                </c:pt>
                <c:pt idx="11">
                  <c:v>6479.2799999999988</c:v>
                </c:pt>
                <c:pt idx="12">
                  <c:v>1127.0600000000004</c:v>
                </c:pt>
                <c:pt idx="13">
                  <c:v>4259.2899999999981</c:v>
                </c:pt>
                <c:pt idx="14">
                  <c:v>11400</c:v>
                </c:pt>
                <c:pt idx="15">
                  <c:v>2359.4100000000003</c:v>
                </c:pt>
                <c:pt idx="16">
                  <c:v>662.5</c:v>
                </c:pt>
                <c:pt idx="17">
                  <c:v>7279.0899999999974</c:v>
                </c:pt>
                <c:pt idx="18">
                  <c:v>975.39000000000021</c:v>
                </c:pt>
                <c:pt idx="19">
                  <c:v>1600</c:v>
                </c:pt>
              </c:numCache>
            </c:numRef>
          </c:val>
          <c:extLst>
            <c:ext xmlns:c16="http://schemas.microsoft.com/office/drawing/2014/chart" uri="{C3380CC4-5D6E-409C-BE32-E72D297353CC}">
              <c16:uniqueId val="{00000000-2A6C-4EA4-BBFF-6BC8982A0CEC}"/>
            </c:ext>
          </c:extLst>
        </c:ser>
        <c:dLbls>
          <c:dLblPos val="outEnd"/>
          <c:showLegendKey val="0"/>
          <c:showVal val="1"/>
          <c:showCatName val="0"/>
          <c:showSerName val="0"/>
          <c:showPercent val="0"/>
          <c:showBubbleSize val="0"/>
        </c:dLbls>
        <c:gapWidth val="68"/>
        <c:axId val="217260367"/>
        <c:axId val="217254607"/>
      </c:barChart>
      <c:catAx>
        <c:axId val="2172603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7254607"/>
        <c:crosses val="autoZero"/>
        <c:auto val="1"/>
        <c:lblAlgn val="ctr"/>
        <c:lblOffset val="100"/>
        <c:noMultiLvlLbl val="0"/>
      </c:catAx>
      <c:valAx>
        <c:axId val="217254607"/>
        <c:scaling>
          <c:orientation val="minMax"/>
        </c:scaling>
        <c:delete val="1"/>
        <c:axPos val="b"/>
        <c:numFmt formatCode="General" sourceLinked="1"/>
        <c:majorTickMark val="none"/>
        <c:minorTickMark val="none"/>
        <c:tickLblPos val="nextTo"/>
        <c:crossAx val="217260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(Excel).xlsx]Pivot Tables!PivotTable3</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Tables'!$H$3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Tables'!$G$4:$G$24</c:f>
              <c:strCache>
                <c:ptCount val="20"/>
                <c:pt idx="0">
                  <c:v>Aiden Miller</c:v>
                </c:pt>
                <c:pt idx="1">
                  <c:v>Amelia Walker</c:v>
                </c:pt>
                <c:pt idx="2">
                  <c:v>Ava Thompson</c:v>
                </c:pt>
                <c:pt idx="3">
                  <c:v>Charlotte White</c:v>
                </c:pt>
                <c:pt idx="4">
                  <c:v>Ella Hall</c:v>
                </c:pt>
                <c:pt idx="5">
                  <c:v>Emma Johnson</c:v>
                </c:pt>
                <c:pt idx="6">
                  <c:v>Ethan Wilson</c:v>
                </c:pt>
                <c:pt idx="7">
                  <c:v>Evelyn Moore</c:v>
                </c:pt>
                <c:pt idx="8">
                  <c:v>Harper Garcia</c:v>
                </c:pt>
                <c:pt idx="9">
                  <c:v>Henry Young</c:v>
                </c:pt>
                <c:pt idx="10">
                  <c:v>Isabella Davis</c:v>
                </c:pt>
                <c:pt idx="11">
                  <c:v>James Allen</c:v>
                </c:pt>
                <c:pt idx="12">
                  <c:v>Liam Carter</c:v>
                </c:pt>
                <c:pt idx="13">
                  <c:v>Logan Taylor</c:v>
                </c:pt>
                <c:pt idx="14">
                  <c:v>Lucas Harris</c:v>
                </c:pt>
                <c:pt idx="15">
                  <c:v>Mason Lee</c:v>
                </c:pt>
                <c:pt idx="16">
                  <c:v>Mia Anderson</c:v>
                </c:pt>
                <c:pt idx="17">
                  <c:v>Noah Smith</c:v>
                </c:pt>
                <c:pt idx="18">
                  <c:v>Oliver Martinez</c:v>
                </c:pt>
                <c:pt idx="19">
                  <c:v>Sophia Clark</c:v>
                </c:pt>
              </c:strCache>
            </c:strRef>
          </c:cat>
          <c:val>
            <c:numRef>
              <c:f>'Pivot Tables'!$H$4:$H$24</c:f>
              <c:numCache>
                <c:formatCode>General</c:formatCode>
                <c:ptCount val="20"/>
                <c:pt idx="0">
                  <c:v>3574.9700000000003</c:v>
                </c:pt>
                <c:pt idx="1">
                  <c:v>4303.67</c:v>
                </c:pt>
                <c:pt idx="2">
                  <c:v>3339.6200000000003</c:v>
                </c:pt>
                <c:pt idx="3">
                  <c:v>3917.0299999999984</c:v>
                </c:pt>
                <c:pt idx="4">
                  <c:v>3359.1199999999994</c:v>
                </c:pt>
                <c:pt idx="5">
                  <c:v>2411.66</c:v>
                </c:pt>
                <c:pt idx="6">
                  <c:v>4032.9199999999992</c:v>
                </c:pt>
                <c:pt idx="7">
                  <c:v>2638.08</c:v>
                </c:pt>
                <c:pt idx="8">
                  <c:v>2730.6399999999994</c:v>
                </c:pt>
                <c:pt idx="9">
                  <c:v>3628.46</c:v>
                </c:pt>
                <c:pt idx="10">
                  <c:v>3655.91</c:v>
                </c:pt>
                <c:pt idx="11">
                  <c:v>4297.6299999999992</c:v>
                </c:pt>
                <c:pt idx="12">
                  <c:v>2783.72</c:v>
                </c:pt>
                <c:pt idx="13">
                  <c:v>2912.6400000000003</c:v>
                </c:pt>
                <c:pt idx="14">
                  <c:v>3654.4699999999993</c:v>
                </c:pt>
                <c:pt idx="15">
                  <c:v>3694.4299999999994</c:v>
                </c:pt>
                <c:pt idx="16">
                  <c:v>3018.5199999999995</c:v>
                </c:pt>
                <c:pt idx="17">
                  <c:v>2562.6100000000006</c:v>
                </c:pt>
                <c:pt idx="18">
                  <c:v>2646.9499999999989</c:v>
                </c:pt>
                <c:pt idx="19">
                  <c:v>2326.13</c:v>
                </c:pt>
              </c:numCache>
            </c:numRef>
          </c:val>
          <c:extLst>
            <c:ext xmlns:c16="http://schemas.microsoft.com/office/drawing/2014/chart" uri="{C3380CC4-5D6E-409C-BE32-E72D297353CC}">
              <c16:uniqueId val="{00000000-A37E-439E-8F50-9EF1B20B0772}"/>
            </c:ext>
          </c:extLst>
        </c:ser>
        <c:dLbls>
          <c:showLegendKey val="0"/>
          <c:showVal val="0"/>
          <c:showCatName val="0"/>
          <c:showSerName val="0"/>
          <c:showPercent val="0"/>
          <c:showBubbleSize val="0"/>
        </c:dLbls>
        <c:gapWidth val="76"/>
        <c:overlap val="-27"/>
        <c:axId val="217265167"/>
        <c:axId val="217264207"/>
      </c:barChart>
      <c:catAx>
        <c:axId val="2172651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7264207"/>
        <c:crosses val="autoZero"/>
        <c:auto val="1"/>
        <c:lblAlgn val="ctr"/>
        <c:lblOffset val="100"/>
        <c:noMultiLvlLbl val="0"/>
      </c:catAx>
      <c:valAx>
        <c:axId val="217264207"/>
        <c:scaling>
          <c:orientation val="minMax"/>
        </c:scaling>
        <c:delete val="1"/>
        <c:axPos val="l"/>
        <c:numFmt formatCode="General" sourceLinked="1"/>
        <c:majorTickMark val="out"/>
        <c:minorTickMark val="none"/>
        <c:tickLblPos val="nextTo"/>
        <c:crossAx val="217265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(Excel).xlsx]Pivot Tables!PivotTable1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r>
              <a:rPr lang="en-IN" baseline="0"/>
              <a:t> Sales by Region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5833333333333324"/>
              <c:y val="0.1157407407407406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722222222222222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6388888888888892"/>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5833333333333333"/>
              <c:y val="9.259259259259250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ABC7-4026-83E5-98CA5531F62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ABC7-4026-83E5-98CA5531F62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BC7-4026-83E5-98CA5531F62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4-ABC7-4026-83E5-98CA5531F629}"/>
              </c:ext>
            </c:extLst>
          </c:dPt>
          <c:dLbls>
            <c:dLbl>
              <c:idx val="0"/>
              <c:layout>
                <c:manualLayout>
                  <c:x val="0.17222222222222222"/>
                  <c:y val="-1.38888888888888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BC7-4026-83E5-98CA5531F629}"/>
                </c:ext>
              </c:extLst>
            </c:dLbl>
            <c:dLbl>
              <c:idx val="1"/>
              <c:layout>
                <c:manualLayout>
                  <c:x val="0.15833333333333324"/>
                  <c:y val="0.1157407407407406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BC7-4026-83E5-98CA5531F629}"/>
                </c:ext>
              </c:extLst>
            </c:dLbl>
            <c:dLbl>
              <c:idx val="2"/>
              <c:layout>
                <c:manualLayout>
                  <c:x val="-0.15833333333333333"/>
                  <c:y val="9.259259259259250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BC7-4026-83E5-98CA5531F629}"/>
                </c:ext>
              </c:extLst>
            </c:dLbl>
            <c:dLbl>
              <c:idx val="3"/>
              <c:layout>
                <c:manualLayout>
                  <c:x val="-0.16388888888888892"/>
                  <c:y val="-5.09259259259259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BC7-4026-83E5-98CA5531F62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Tables'!$A$4:$A$8</c:f>
              <c:strCache>
                <c:ptCount val="4"/>
                <c:pt idx="0">
                  <c:v>East</c:v>
                </c:pt>
                <c:pt idx="1">
                  <c:v>North</c:v>
                </c:pt>
                <c:pt idx="2">
                  <c:v>South</c:v>
                </c:pt>
                <c:pt idx="3">
                  <c:v>West</c:v>
                </c:pt>
              </c:strCache>
            </c:strRef>
          </c:cat>
          <c:val>
            <c:numRef>
              <c:f>'Pivot Tables'!$B$4:$B$8</c:f>
              <c:numCache>
                <c:formatCode>General</c:formatCode>
                <c:ptCount val="4"/>
                <c:pt idx="0">
                  <c:v>14325.469999999987</c:v>
                </c:pt>
                <c:pt idx="1">
                  <c:v>17284.929999999989</c:v>
                </c:pt>
                <c:pt idx="2">
                  <c:v>16508.869999999988</c:v>
                </c:pt>
                <c:pt idx="3">
                  <c:v>17369.909999999985</c:v>
                </c:pt>
              </c:numCache>
            </c:numRef>
          </c:val>
          <c:extLst>
            <c:ext xmlns:c16="http://schemas.microsoft.com/office/drawing/2014/chart" uri="{C3380CC4-5D6E-409C-BE32-E72D297353CC}">
              <c16:uniqueId val="{00000000-ABC7-4026-83E5-98CA5531F629}"/>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(Excel).xlsx]Pivot Tables!PivotTable2</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Tables'!$E$3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Tables'!$D$4:$D$24</c:f>
              <c:strCache>
                <c:ptCount val="20"/>
                <c:pt idx="0">
                  <c:v>Basketball</c:v>
                </c:pt>
                <c:pt idx="1">
                  <c:v>Bluetooth Speaker</c:v>
                </c:pt>
                <c:pt idx="2">
                  <c:v>Bookshelf</c:v>
                </c:pt>
                <c:pt idx="3">
                  <c:v>Cotton T-Shirt</c:v>
                </c:pt>
                <c:pt idx="4">
                  <c:v>Desk Lamp</c:v>
                </c:pt>
                <c:pt idx="5">
                  <c:v>Highlighter Set</c:v>
                </c:pt>
                <c:pt idx="6">
                  <c:v>Hoodie</c:v>
                </c:pt>
                <c:pt idx="7">
                  <c:v>Ink Cartridge</c:v>
                </c:pt>
                <c:pt idx="8">
                  <c:v>Laptop Stand</c:v>
                </c:pt>
                <c:pt idx="9">
                  <c:v>LED Monitor</c:v>
                </c:pt>
                <c:pt idx="10">
                  <c:v>Notebook Pack</c:v>
                </c:pt>
                <c:pt idx="11">
                  <c:v>Office Chair</c:v>
                </c:pt>
                <c:pt idx="12">
                  <c:v>Phone Charger</c:v>
                </c:pt>
                <c:pt idx="13">
                  <c:v>Running Shoes</c:v>
                </c:pt>
                <c:pt idx="14">
                  <c:v>Study Desk</c:v>
                </c:pt>
                <c:pt idx="15">
                  <c:v>Tennis Racket</c:v>
                </c:pt>
                <c:pt idx="16">
                  <c:v>Water Bottle</c:v>
                </c:pt>
                <c:pt idx="17">
                  <c:v>Winter Jacket</c:v>
                </c:pt>
                <c:pt idx="18">
                  <c:v>Wireless Mouse</c:v>
                </c:pt>
                <c:pt idx="19">
                  <c:v>Yoga Mat</c:v>
                </c:pt>
              </c:strCache>
            </c:strRef>
          </c:cat>
          <c:val>
            <c:numRef>
              <c:f>'Pivot Tables'!$E$4:$E$24</c:f>
              <c:numCache>
                <c:formatCode>General</c:formatCode>
                <c:ptCount val="20"/>
                <c:pt idx="0">
                  <c:v>1049.3000000000002</c:v>
                </c:pt>
                <c:pt idx="1">
                  <c:v>3465</c:v>
                </c:pt>
                <c:pt idx="2">
                  <c:v>8120</c:v>
                </c:pt>
                <c:pt idx="3">
                  <c:v>719.2800000000002</c:v>
                </c:pt>
                <c:pt idx="4">
                  <c:v>1678.2700000000004</c:v>
                </c:pt>
                <c:pt idx="5">
                  <c:v>245.18</c:v>
                </c:pt>
                <c:pt idx="6">
                  <c:v>2659.2399999999993</c:v>
                </c:pt>
                <c:pt idx="7">
                  <c:v>1422</c:v>
                </c:pt>
                <c:pt idx="8">
                  <c:v>1825</c:v>
                </c:pt>
                <c:pt idx="9">
                  <c:v>7929.3899999999985</c:v>
                </c:pt>
                <c:pt idx="10">
                  <c:v>234.5</c:v>
                </c:pt>
                <c:pt idx="11">
                  <c:v>6479.2799999999988</c:v>
                </c:pt>
                <c:pt idx="12">
                  <c:v>1127.0600000000004</c:v>
                </c:pt>
                <c:pt idx="13">
                  <c:v>4259.2899999999981</c:v>
                </c:pt>
                <c:pt idx="14">
                  <c:v>11400</c:v>
                </c:pt>
                <c:pt idx="15">
                  <c:v>2359.4100000000003</c:v>
                </c:pt>
                <c:pt idx="16">
                  <c:v>662.5</c:v>
                </c:pt>
                <c:pt idx="17">
                  <c:v>7279.0899999999974</c:v>
                </c:pt>
                <c:pt idx="18">
                  <c:v>975.39000000000021</c:v>
                </c:pt>
                <c:pt idx="19">
                  <c:v>1600</c:v>
                </c:pt>
              </c:numCache>
            </c:numRef>
          </c:val>
          <c:extLst>
            <c:ext xmlns:c16="http://schemas.microsoft.com/office/drawing/2014/chart" uri="{C3380CC4-5D6E-409C-BE32-E72D297353CC}">
              <c16:uniqueId val="{00000000-FBDC-4F28-9C10-84AEEEA8A046}"/>
            </c:ext>
          </c:extLst>
        </c:ser>
        <c:dLbls>
          <c:dLblPos val="outEnd"/>
          <c:showLegendKey val="0"/>
          <c:showVal val="1"/>
          <c:showCatName val="0"/>
          <c:showSerName val="0"/>
          <c:showPercent val="0"/>
          <c:showBubbleSize val="0"/>
        </c:dLbls>
        <c:gapWidth val="68"/>
        <c:axId val="217260367"/>
        <c:axId val="217254607"/>
      </c:barChart>
      <c:catAx>
        <c:axId val="2172603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7254607"/>
        <c:crosses val="autoZero"/>
        <c:auto val="1"/>
        <c:lblAlgn val="ctr"/>
        <c:lblOffset val="100"/>
        <c:noMultiLvlLbl val="0"/>
      </c:catAx>
      <c:valAx>
        <c:axId val="217254607"/>
        <c:scaling>
          <c:orientation val="minMax"/>
        </c:scaling>
        <c:delete val="1"/>
        <c:axPos val="b"/>
        <c:numFmt formatCode="General" sourceLinked="1"/>
        <c:majorTickMark val="none"/>
        <c:minorTickMark val="none"/>
        <c:tickLblPos val="nextTo"/>
        <c:crossAx val="217260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(Excel).xlsx]Pivot Tables!PivotTable3</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Tables'!$H$3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Tables'!$G$4:$G$24</c:f>
              <c:strCache>
                <c:ptCount val="20"/>
                <c:pt idx="0">
                  <c:v>Aiden Miller</c:v>
                </c:pt>
                <c:pt idx="1">
                  <c:v>Amelia Walker</c:v>
                </c:pt>
                <c:pt idx="2">
                  <c:v>Ava Thompson</c:v>
                </c:pt>
                <c:pt idx="3">
                  <c:v>Charlotte White</c:v>
                </c:pt>
                <c:pt idx="4">
                  <c:v>Ella Hall</c:v>
                </c:pt>
                <c:pt idx="5">
                  <c:v>Emma Johnson</c:v>
                </c:pt>
                <c:pt idx="6">
                  <c:v>Ethan Wilson</c:v>
                </c:pt>
                <c:pt idx="7">
                  <c:v>Evelyn Moore</c:v>
                </c:pt>
                <c:pt idx="8">
                  <c:v>Harper Garcia</c:v>
                </c:pt>
                <c:pt idx="9">
                  <c:v>Henry Young</c:v>
                </c:pt>
                <c:pt idx="10">
                  <c:v>Isabella Davis</c:v>
                </c:pt>
                <c:pt idx="11">
                  <c:v>James Allen</c:v>
                </c:pt>
                <c:pt idx="12">
                  <c:v>Liam Carter</c:v>
                </c:pt>
                <c:pt idx="13">
                  <c:v>Logan Taylor</c:v>
                </c:pt>
                <c:pt idx="14">
                  <c:v>Lucas Harris</c:v>
                </c:pt>
                <c:pt idx="15">
                  <c:v>Mason Lee</c:v>
                </c:pt>
                <c:pt idx="16">
                  <c:v>Mia Anderson</c:v>
                </c:pt>
                <c:pt idx="17">
                  <c:v>Noah Smith</c:v>
                </c:pt>
                <c:pt idx="18">
                  <c:v>Oliver Martinez</c:v>
                </c:pt>
                <c:pt idx="19">
                  <c:v>Sophia Clark</c:v>
                </c:pt>
              </c:strCache>
            </c:strRef>
          </c:cat>
          <c:val>
            <c:numRef>
              <c:f>'Pivot Tables'!$H$4:$H$24</c:f>
              <c:numCache>
                <c:formatCode>General</c:formatCode>
                <c:ptCount val="20"/>
                <c:pt idx="0">
                  <c:v>3574.9700000000003</c:v>
                </c:pt>
                <c:pt idx="1">
                  <c:v>4303.67</c:v>
                </c:pt>
                <c:pt idx="2">
                  <c:v>3339.6200000000003</c:v>
                </c:pt>
                <c:pt idx="3">
                  <c:v>3917.0299999999984</c:v>
                </c:pt>
                <c:pt idx="4">
                  <c:v>3359.1199999999994</c:v>
                </c:pt>
                <c:pt idx="5">
                  <c:v>2411.66</c:v>
                </c:pt>
                <c:pt idx="6">
                  <c:v>4032.9199999999992</c:v>
                </c:pt>
                <c:pt idx="7">
                  <c:v>2638.08</c:v>
                </c:pt>
                <c:pt idx="8">
                  <c:v>2730.6399999999994</c:v>
                </c:pt>
                <c:pt idx="9">
                  <c:v>3628.46</c:v>
                </c:pt>
                <c:pt idx="10">
                  <c:v>3655.91</c:v>
                </c:pt>
                <c:pt idx="11">
                  <c:v>4297.6299999999992</c:v>
                </c:pt>
                <c:pt idx="12">
                  <c:v>2783.72</c:v>
                </c:pt>
                <c:pt idx="13">
                  <c:v>2912.6400000000003</c:v>
                </c:pt>
                <c:pt idx="14">
                  <c:v>3654.4699999999993</c:v>
                </c:pt>
                <c:pt idx="15">
                  <c:v>3694.4299999999994</c:v>
                </c:pt>
                <c:pt idx="16">
                  <c:v>3018.5199999999995</c:v>
                </c:pt>
                <c:pt idx="17">
                  <c:v>2562.6100000000006</c:v>
                </c:pt>
                <c:pt idx="18">
                  <c:v>2646.9499999999989</c:v>
                </c:pt>
                <c:pt idx="19">
                  <c:v>2326.13</c:v>
                </c:pt>
              </c:numCache>
            </c:numRef>
          </c:val>
          <c:extLst>
            <c:ext xmlns:c16="http://schemas.microsoft.com/office/drawing/2014/chart" uri="{C3380CC4-5D6E-409C-BE32-E72D297353CC}">
              <c16:uniqueId val="{00000000-C8FA-4C15-8FD2-32D2042D4A69}"/>
            </c:ext>
          </c:extLst>
        </c:ser>
        <c:dLbls>
          <c:showLegendKey val="0"/>
          <c:showVal val="0"/>
          <c:showCatName val="0"/>
          <c:showSerName val="0"/>
          <c:showPercent val="0"/>
          <c:showBubbleSize val="0"/>
        </c:dLbls>
        <c:gapWidth val="76"/>
        <c:overlap val="-27"/>
        <c:axId val="217265167"/>
        <c:axId val="217264207"/>
      </c:barChart>
      <c:catAx>
        <c:axId val="2172651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7264207"/>
        <c:crosses val="autoZero"/>
        <c:auto val="1"/>
        <c:lblAlgn val="ctr"/>
        <c:lblOffset val="100"/>
        <c:noMultiLvlLbl val="0"/>
      </c:catAx>
      <c:valAx>
        <c:axId val="217264207"/>
        <c:scaling>
          <c:orientation val="minMax"/>
        </c:scaling>
        <c:delete val="1"/>
        <c:axPos val="l"/>
        <c:numFmt formatCode="General" sourceLinked="1"/>
        <c:majorTickMark val="out"/>
        <c:minorTickMark val="none"/>
        <c:tickLblPos val="nextTo"/>
        <c:crossAx val="217265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(Excel).xlsx]Pivot Tables!PivotTable4</c:name>
    <c:fmtId val="1"/>
  </c:pivotSource>
  <c:chart>
    <c:autoTitleDeleted val="1"/>
    <c:pivotFmts>
      <c:pivotFmt>
        <c:idx val="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Tables'!$K$3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Tables'!$J$4:$J$24</c:f>
              <c:strCache>
                <c:ptCount val="20"/>
                <c:pt idx="0">
                  <c:v>Basketball</c:v>
                </c:pt>
                <c:pt idx="1">
                  <c:v>Bluetooth Speaker</c:v>
                </c:pt>
                <c:pt idx="2">
                  <c:v>Bookshelf</c:v>
                </c:pt>
                <c:pt idx="3">
                  <c:v>Cotton T-Shirt</c:v>
                </c:pt>
                <c:pt idx="4">
                  <c:v>Desk Lamp</c:v>
                </c:pt>
                <c:pt idx="5">
                  <c:v>Highlighter Set</c:v>
                </c:pt>
                <c:pt idx="6">
                  <c:v>Hoodie</c:v>
                </c:pt>
                <c:pt idx="7">
                  <c:v>Ink Cartridge</c:v>
                </c:pt>
                <c:pt idx="8">
                  <c:v>Laptop Stand</c:v>
                </c:pt>
                <c:pt idx="9">
                  <c:v>LED Monitor</c:v>
                </c:pt>
                <c:pt idx="10">
                  <c:v>Notebook Pack</c:v>
                </c:pt>
                <c:pt idx="11">
                  <c:v>Office Chair</c:v>
                </c:pt>
                <c:pt idx="12">
                  <c:v>Phone Charger</c:v>
                </c:pt>
                <c:pt idx="13">
                  <c:v>Running Shoes</c:v>
                </c:pt>
                <c:pt idx="14">
                  <c:v>Study Desk</c:v>
                </c:pt>
                <c:pt idx="15">
                  <c:v>Tennis Racket</c:v>
                </c:pt>
                <c:pt idx="16">
                  <c:v>Water Bottle</c:v>
                </c:pt>
                <c:pt idx="17">
                  <c:v>Winter Jacket</c:v>
                </c:pt>
                <c:pt idx="18">
                  <c:v>Wireless Mouse</c:v>
                </c:pt>
                <c:pt idx="19">
                  <c:v>Yoga Mat</c:v>
                </c:pt>
              </c:strCache>
            </c:strRef>
          </c:cat>
          <c:val>
            <c:numRef>
              <c:f>'Pivot Tables'!$K$4:$K$24</c:f>
              <c:numCache>
                <c:formatCode>General</c:formatCode>
                <c:ptCount val="20"/>
                <c:pt idx="0">
                  <c:v>70</c:v>
                </c:pt>
                <c:pt idx="1">
                  <c:v>77</c:v>
                </c:pt>
                <c:pt idx="2">
                  <c:v>56</c:v>
                </c:pt>
                <c:pt idx="3">
                  <c:v>72</c:v>
                </c:pt>
                <c:pt idx="4">
                  <c:v>73</c:v>
                </c:pt>
                <c:pt idx="5">
                  <c:v>82</c:v>
                </c:pt>
                <c:pt idx="6">
                  <c:v>76</c:v>
                </c:pt>
                <c:pt idx="7">
                  <c:v>79</c:v>
                </c:pt>
                <c:pt idx="8">
                  <c:v>73</c:v>
                </c:pt>
                <c:pt idx="9">
                  <c:v>61</c:v>
                </c:pt>
                <c:pt idx="10">
                  <c:v>67</c:v>
                </c:pt>
                <c:pt idx="11">
                  <c:v>72</c:v>
                </c:pt>
                <c:pt idx="12">
                  <c:v>94</c:v>
                </c:pt>
                <c:pt idx="13">
                  <c:v>71</c:v>
                </c:pt>
                <c:pt idx="14">
                  <c:v>95</c:v>
                </c:pt>
                <c:pt idx="15">
                  <c:v>59</c:v>
                </c:pt>
                <c:pt idx="16">
                  <c:v>53</c:v>
                </c:pt>
                <c:pt idx="17">
                  <c:v>91</c:v>
                </c:pt>
                <c:pt idx="18">
                  <c:v>61</c:v>
                </c:pt>
                <c:pt idx="19">
                  <c:v>80</c:v>
                </c:pt>
              </c:numCache>
            </c:numRef>
          </c:val>
          <c:smooth val="0"/>
          <c:extLst>
            <c:ext xmlns:c16="http://schemas.microsoft.com/office/drawing/2014/chart" uri="{C3380CC4-5D6E-409C-BE32-E72D297353CC}">
              <c16:uniqueId val="{00000000-3583-437E-8BD5-D9B429E0FFCC}"/>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217305487"/>
        <c:axId val="217306927"/>
      </c:lineChart>
      <c:catAx>
        <c:axId val="217305487"/>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217306927"/>
        <c:crosses val="autoZero"/>
        <c:auto val="1"/>
        <c:lblAlgn val="ctr"/>
        <c:lblOffset val="100"/>
        <c:noMultiLvlLbl val="0"/>
      </c:catAx>
      <c:valAx>
        <c:axId val="217306927"/>
        <c:scaling>
          <c:orientation val="minMax"/>
        </c:scaling>
        <c:delete val="1"/>
        <c:axPos val="l"/>
        <c:numFmt formatCode="General" sourceLinked="1"/>
        <c:majorTickMark val="none"/>
        <c:minorTickMark val="none"/>
        <c:tickLblPos val="nextTo"/>
        <c:crossAx val="217305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60000"/>
        <a:lumOff val="4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3.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2.xml"/><Relationship Id="rId5" Type="http://schemas.openxmlformats.org/officeDocument/2006/relationships/image" Target="../media/image5.png"/><Relationship Id="rId10" Type="http://schemas.openxmlformats.org/officeDocument/2006/relationships/chart" Target="../charts/chart1.xml"/><Relationship Id="rId4" Type="http://schemas.openxmlformats.org/officeDocument/2006/relationships/image" Target="../media/image4.sv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38100</xdr:colOff>
      <xdr:row>0</xdr:row>
      <xdr:rowOff>137160</xdr:rowOff>
    </xdr:from>
    <xdr:to>
      <xdr:col>20</xdr:col>
      <xdr:colOff>446100</xdr:colOff>
      <xdr:row>4</xdr:row>
      <xdr:rowOff>160020</xdr:rowOff>
    </xdr:to>
    <xdr:sp macro="" textlink="">
      <xdr:nvSpPr>
        <xdr:cNvPr id="3" name="Rectangle: Rounded Corners 2">
          <a:extLst>
            <a:ext uri="{FF2B5EF4-FFF2-40B4-BE49-F238E27FC236}">
              <a16:creationId xmlns:a16="http://schemas.microsoft.com/office/drawing/2014/main" id="{9777C04F-768B-7F1D-BC7F-BF12B05183A4}"/>
            </a:ext>
          </a:extLst>
        </xdr:cNvPr>
        <xdr:cNvSpPr/>
      </xdr:nvSpPr>
      <xdr:spPr>
        <a:xfrm>
          <a:off x="38100" y="137160"/>
          <a:ext cx="12600000" cy="75438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30480</xdr:colOff>
      <xdr:row>7</xdr:row>
      <xdr:rowOff>22860</xdr:rowOff>
    </xdr:from>
    <xdr:to>
      <xdr:col>3</xdr:col>
      <xdr:colOff>213360</xdr:colOff>
      <xdr:row>11</xdr:row>
      <xdr:rowOff>137160</xdr:rowOff>
    </xdr:to>
    <xdr:grpSp>
      <xdr:nvGrpSpPr>
        <xdr:cNvPr id="8" name="Group 7">
          <a:extLst>
            <a:ext uri="{FF2B5EF4-FFF2-40B4-BE49-F238E27FC236}">
              <a16:creationId xmlns:a16="http://schemas.microsoft.com/office/drawing/2014/main" id="{E22508A3-68B0-1BE3-A264-7B55C5719FF9}"/>
            </a:ext>
          </a:extLst>
        </xdr:cNvPr>
        <xdr:cNvGrpSpPr/>
      </xdr:nvGrpSpPr>
      <xdr:grpSpPr>
        <a:xfrm>
          <a:off x="30480" y="1310377"/>
          <a:ext cx="2022190" cy="850024"/>
          <a:chOff x="0" y="1295400"/>
          <a:chExt cx="2011680" cy="845820"/>
        </a:xfrm>
      </xdr:grpSpPr>
      <xdr:sp macro="" textlink="">
        <xdr:nvSpPr>
          <xdr:cNvPr id="4" name="Rectangle: Rounded Corners 3">
            <a:extLst>
              <a:ext uri="{FF2B5EF4-FFF2-40B4-BE49-F238E27FC236}">
                <a16:creationId xmlns:a16="http://schemas.microsoft.com/office/drawing/2014/main" id="{EE466CBB-30DC-4921-8FF8-9D1A98F8223D}"/>
              </a:ext>
            </a:extLst>
          </xdr:cNvPr>
          <xdr:cNvSpPr/>
        </xdr:nvSpPr>
        <xdr:spPr>
          <a:xfrm>
            <a:off x="0" y="1295400"/>
            <a:ext cx="2011680" cy="84582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 name="Rectangle: Rounded Corners 4">
            <a:extLst>
              <a:ext uri="{FF2B5EF4-FFF2-40B4-BE49-F238E27FC236}">
                <a16:creationId xmlns:a16="http://schemas.microsoft.com/office/drawing/2014/main" id="{4E1F3B79-6C09-6D23-8407-EDD3AA650335}"/>
              </a:ext>
            </a:extLst>
          </xdr:cNvPr>
          <xdr:cNvSpPr/>
        </xdr:nvSpPr>
        <xdr:spPr>
          <a:xfrm>
            <a:off x="0" y="1295400"/>
            <a:ext cx="754380" cy="835200"/>
          </a:xfrm>
          <a:prstGeom prst="roundRect">
            <a:avLst/>
          </a:prstGeom>
          <a:solidFill>
            <a:schemeClr val="tx2">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 name="TextBox 5">
            <a:extLst>
              <a:ext uri="{FF2B5EF4-FFF2-40B4-BE49-F238E27FC236}">
                <a16:creationId xmlns:a16="http://schemas.microsoft.com/office/drawing/2014/main" id="{6B780B79-6664-1D1D-46FC-4024B36EAA87}"/>
              </a:ext>
            </a:extLst>
          </xdr:cNvPr>
          <xdr:cNvSpPr txBox="1"/>
        </xdr:nvSpPr>
        <xdr:spPr>
          <a:xfrm>
            <a:off x="1013460" y="1379220"/>
            <a:ext cx="89154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tx2">
                    <a:lumMod val="60000"/>
                    <a:lumOff val="40000"/>
                  </a:schemeClr>
                </a:solidFill>
              </a:rPr>
              <a:t>Total Sales</a:t>
            </a:r>
          </a:p>
        </xdr:txBody>
      </xdr:sp>
      <xdr:sp macro="" textlink="'Sales Data'!K2">
        <xdr:nvSpPr>
          <xdr:cNvPr id="7" name="TextBox 6">
            <a:extLst>
              <a:ext uri="{FF2B5EF4-FFF2-40B4-BE49-F238E27FC236}">
                <a16:creationId xmlns:a16="http://schemas.microsoft.com/office/drawing/2014/main" id="{CAEE4D66-E000-21D1-BEF6-19F2757EC8B3}"/>
              </a:ext>
            </a:extLst>
          </xdr:cNvPr>
          <xdr:cNvSpPr txBox="1"/>
        </xdr:nvSpPr>
        <xdr:spPr>
          <a:xfrm>
            <a:off x="1013460" y="1661160"/>
            <a:ext cx="8001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D34390C2-1021-4843-91A0-5032D442CCBE}" type="TxLink">
              <a:rPr lang="en-US" sz="1100" b="1" i="0" u="none" strike="noStrike">
                <a:solidFill>
                  <a:schemeClr val="tx2">
                    <a:lumMod val="60000"/>
                    <a:lumOff val="40000"/>
                  </a:schemeClr>
                </a:solidFill>
                <a:latin typeface="Calibri"/>
                <a:ea typeface="Calibri"/>
                <a:cs typeface="Calibri"/>
              </a:rPr>
              <a:pPr/>
              <a:t>65489.18</a:t>
            </a:fld>
            <a:endParaRPr lang="en-US" b="1">
              <a:solidFill>
                <a:schemeClr val="tx2">
                  <a:lumMod val="60000"/>
                  <a:lumOff val="40000"/>
                </a:schemeClr>
              </a:solidFill>
            </a:endParaRPr>
          </a:p>
        </xdr:txBody>
      </xdr:sp>
    </xdr:grpSp>
    <xdr:clientData/>
  </xdr:twoCellAnchor>
  <xdr:twoCellAnchor>
    <xdr:from>
      <xdr:col>3</xdr:col>
      <xdr:colOff>335280</xdr:colOff>
      <xdr:row>7</xdr:row>
      <xdr:rowOff>15240</xdr:rowOff>
    </xdr:from>
    <xdr:to>
      <xdr:col>6</xdr:col>
      <xdr:colOff>594360</xdr:colOff>
      <xdr:row>11</xdr:row>
      <xdr:rowOff>129540</xdr:rowOff>
    </xdr:to>
    <xdr:grpSp>
      <xdr:nvGrpSpPr>
        <xdr:cNvPr id="19" name="Group 18">
          <a:extLst>
            <a:ext uri="{FF2B5EF4-FFF2-40B4-BE49-F238E27FC236}">
              <a16:creationId xmlns:a16="http://schemas.microsoft.com/office/drawing/2014/main" id="{B320DABD-AC54-5071-62DC-B4B859D10DD5}"/>
            </a:ext>
          </a:extLst>
        </xdr:cNvPr>
        <xdr:cNvGrpSpPr/>
      </xdr:nvGrpSpPr>
      <xdr:grpSpPr>
        <a:xfrm>
          <a:off x="2174590" y="1302757"/>
          <a:ext cx="2098391" cy="850024"/>
          <a:chOff x="0" y="1295400"/>
          <a:chExt cx="2087880" cy="845820"/>
        </a:xfrm>
      </xdr:grpSpPr>
      <xdr:sp macro="" textlink="">
        <xdr:nvSpPr>
          <xdr:cNvPr id="20" name="Rectangle: Rounded Corners 19">
            <a:extLst>
              <a:ext uri="{FF2B5EF4-FFF2-40B4-BE49-F238E27FC236}">
                <a16:creationId xmlns:a16="http://schemas.microsoft.com/office/drawing/2014/main" id="{3BF7C1AF-2D19-9CF1-925B-825EB841C18E}"/>
              </a:ext>
            </a:extLst>
          </xdr:cNvPr>
          <xdr:cNvSpPr/>
        </xdr:nvSpPr>
        <xdr:spPr>
          <a:xfrm>
            <a:off x="0" y="1295400"/>
            <a:ext cx="2011680" cy="84582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1" name="Rectangle: Rounded Corners 20">
            <a:extLst>
              <a:ext uri="{FF2B5EF4-FFF2-40B4-BE49-F238E27FC236}">
                <a16:creationId xmlns:a16="http://schemas.microsoft.com/office/drawing/2014/main" id="{AEA57135-1579-2D66-0215-DA6BFC64C427}"/>
              </a:ext>
            </a:extLst>
          </xdr:cNvPr>
          <xdr:cNvSpPr/>
        </xdr:nvSpPr>
        <xdr:spPr>
          <a:xfrm>
            <a:off x="0" y="1295400"/>
            <a:ext cx="754380" cy="835200"/>
          </a:xfrm>
          <a:prstGeom prst="roundRect">
            <a:avLst/>
          </a:prstGeom>
          <a:solidFill>
            <a:schemeClr val="tx2">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2" name="TextBox 21">
            <a:extLst>
              <a:ext uri="{FF2B5EF4-FFF2-40B4-BE49-F238E27FC236}">
                <a16:creationId xmlns:a16="http://schemas.microsoft.com/office/drawing/2014/main" id="{17A3CDDB-B502-293A-09DF-EEBB96BD511E}"/>
              </a:ext>
            </a:extLst>
          </xdr:cNvPr>
          <xdr:cNvSpPr txBox="1"/>
        </xdr:nvSpPr>
        <xdr:spPr>
          <a:xfrm>
            <a:off x="1013460" y="1379220"/>
            <a:ext cx="10744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tx2">
                    <a:lumMod val="60000"/>
                    <a:lumOff val="40000"/>
                  </a:schemeClr>
                </a:solidFill>
              </a:rPr>
              <a:t>Average Sales</a:t>
            </a:r>
          </a:p>
        </xdr:txBody>
      </xdr:sp>
      <xdr:sp macro="" textlink="">
        <xdr:nvSpPr>
          <xdr:cNvPr id="23" name="TextBox 22">
            <a:extLst>
              <a:ext uri="{FF2B5EF4-FFF2-40B4-BE49-F238E27FC236}">
                <a16:creationId xmlns:a16="http://schemas.microsoft.com/office/drawing/2014/main" id="{BB9C8D34-AD0A-DE17-A96C-01E0E512D678}"/>
              </a:ext>
            </a:extLst>
          </xdr:cNvPr>
          <xdr:cNvSpPr txBox="1"/>
        </xdr:nvSpPr>
        <xdr:spPr>
          <a:xfrm>
            <a:off x="1013460" y="1661160"/>
            <a:ext cx="8001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solidFill>
                  <a:schemeClr val="tx2">
                    <a:lumMod val="60000"/>
                    <a:lumOff val="40000"/>
                  </a:schemeClr>
                </a:solidFill>
              </a:rPr>
              <a:t>130.97836</a:t>
            </a:r>
          </a:p>
        </xdr:txBody>
      </xdr:sp>
    </xdr:grpSp>
    <xdr:clientData/>
  </xdr:twoCellAnchor>
  <xdr:twoCellAnchor>
    <xdr:from>
      <xdr:col>7</xdr:col>
      <xdr:colOff>53340</xdr:colOff>
      <xdr:row>7</xdr:row>
      <xdr:rowOff>15240</xdr:rowOff>
    </xdr:from>
    <xdr:to>
      <xdr:col>10</xdr:col>
      <xdr:colOff>312420</xdr:colOff>
      <xdr:row>11</xdr:row>
      <xdr:rowOff>129540</xdr:rowOff>
    </xdr:to>
    <xdr:grpSp>
      <xdr:nvGrpSpPr>
        <xdr:cNvPr id="24" name="Group 23">
          <a:extLst>
            <a:ext uri="{FF2B5EF4-FFF2-40B4-BE49-F238E27FC236}">
              <a16:creationId xmlns:a16="http://schemas.microsoft.com/office/drawing/2014/main" id="{9CE2A326-E953-EB24-C8CE-980400F37837}"/>
            </a:ext>
          </a:extLst>
        </xdr:cNvPr>
        <xdr:cNvGrpSpPr/>
      </xdr:nvGrpSpPr>
      <xdr:grpSpPr>
        <a:xfrm>
          <a:off x="4345064" y="1302757"/>
          <a:ext cx="2098390" cy="850024"/>
          <a:chOff x="0" y="1295400"/>
          <a:chExt cx="2087880" cy="845820"/>
        </a:xfrm>
      </xdr:grpSpPr>
      <xdr:sp macro="" textlink="">
        <xdr:nvSpPr>
          <xdr:cNvPr id="25" name="Rectangle: Rounded Corners 24">
            <a:extLst>
              <a:ext uri="{FF2B5EF4-FFF2-40B4-BE49-F238E27FC236}">
                <a16:creationId xmlns:a16="http://schemas.microsoft.com/office/drawing/2014/main" id="{AD674529-C8CD-F7E8-E389-8B9FE5FA259B}"/>
              </a:ext>
            </a:extLst>
          </xdr:cNvPr>
          <xdr:cNvSpPr/>
        </xdr:nvSpPr>
        <xdr:spPr>
          <a:xfrm>
            <a:off x="0" y="1295400"/>
            <a:ext cx="2011680" cy="84582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6" name="Rectangle: Rounded Corners 25">
            <a:extLst>
              <a:ext uri="{FF2B5EF4-FFF2-40B4-BE49-F238E27FC236}">
                <a16:creationId xmlns:a16="http://schemas.microsoft.com/office/drawing/2014/main" id="{71C378A7-79E1-8C7C-06FC-481CD7E9F64F}"/>
              </a:ext>
            </a:extLst>
          </xdr:cNvPr>
          <xdr:cNvSpPr/>
        </xdr:nvSpPr>
        <xdr:spPr>
          <a:xfrm>
            <a:off x="0" y="1295400"/>
            <a:ext cx="754380" cy="835200"/>
          </a:xfrm>
          <a:prstGeom prst="roundRect">
            <a:avLst/>
          </a:prstGeom>
          <a:solidFill>
            <a:schemeClr val="tx2">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7" name="TextBox 26">
            <a:extLst>
              <a:ext uri="{FF2B5EF4-FFF2-40B4-BE49-F238E27FC236}">
                <a16:creationId xmlns:a16="http://schemas.microsoft.com/office/drawing/2014/main" id="{0C773147-DA05-484F-B97B-8C2FB0DA9B59}"/>
              </a:ext>
            </a:extLst>
          </xdr:cNvPr>
          <xdr:cNvSpPr txBox="1"/>
        </xdr:nvSpPr>
        <xdr:spPr>
          <a:xfrm>
            <a:off x="1013460" y="1379220"/>
            <a:ext cx="10744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tx2">
                    <a:lumMod val="60000"/>
                    <a:lumOff val="40000"/>
                  </a:schemeClr>
                </a:solidFill>
              </a:rPr>
              <a:t>Units Sales</a:t>
            </a:r>
          </a:p>
        </xdr:txBody>
      </xdr:sp>
      <xdr:sp macro="" textlink="'Sales Data'!K4">
        <xdr:nvSpPr>
          <xdr:cNvPr id="28" name="TextBox 27">
            <a:extLst>
              <a:ext uri="{FF2B5EF4-FFF2-40B4-BE49-F238E27FC236}">
                <a16:creationId xmlns:a16="http://schemas.microsoft.com/office/drawing/2014/main" id="{209912EE-F6BA-4927-94CD-DA4ECED20DEE}"/>
              </a:ext>
            </a:extLst>
          </xdr:cNvPr>
          <xdr:cNvSpPr txBox="1"/>
        </xdr:nvSpPr>
        <xdr:spPr>
          <a:xfrm>
            <a:off x="1013460" y="1661160"/>
            <a:ext cx="8001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809F04F-716E-44DE-9C08-D8D81CA55D2F}" type="TxLink">
              <a:rPr lang="en-US" sz="1100" b="1" i="0" u="none" strike="noStrike">
                <a:solidFill>
                  <a:schemeClr val="tx2">
                    <a:lumMod val="60000"/>
                    <a:lumOff val="40000"/>
                  </a:schemeClr>
                </a:solidFill>
                <a:latin typeface="Calibri"/>
                <a:ea typeface="Calibri"/>
                <a:cs typeface="Calibri"/>
              </a:rPr>
              <a:pPr/>
              <a:t>1462</a:t>
            </a:fld>
            <a:endParaRPr lang="en-IN" sz="1200" b="1">
              <a:solidFill>
                <a:schemeClr val="tx2">
                  <a:lumMod val="60000"/>
                  <a:lumOff val="40000"/>
                </a:schemeClr>
              </a:solidFill>
            </a:endParaRPr>
          </a:p>
        </xdr:txBody>
      </xdr:sp>
    </xdr:grpSp>
    <xdr:clientData/>
  </xdr:twoCellAnchor>
  <xdr:twoCellAnchor>
    <xdr:from>
      <xdr:col>10</xdr:col>
      <xdr:colOff>388620</xdr:colOff>
      <xdr:row>7</xdr:row>
      <xdr:rowOff>15240</xdr:rowOff>
    </xdr:from>
    <xdr:to>
      <xdr:col>14</xdr:col>
      <xdr:colOff>38100</xdr:colOff>
      <xdr:row>11</xdr:row>
      <xdr:rowOff>129540</xdr:rowOff>
    </xdr:to>
    <xdr:grpSp>
      <xdr:nvGrpSpPr>
        <xdr:cNvPr id="29" name="Group 28">
          <a:extLst>
            <a:ext uri="{FF2B5EF4-FFF2-40B4-BE49-F238E27FC236}">
              <a16:creationId xmlns:a16="http://schemas.microsoft.com/office/drawing/2014/main" id="{D89E52C6-DF29-756E-F188-EE3CA550EE0C}"/>
            </a:ext>
          </a:extLst>
        </xdr:cNvPr>
        <xdr:cNvGrpSpPr/>
      </xdr:nvGrpSpPr>
      <xdr:grpSpPr>
        <a:xfrm>
          <a:off x="6519654" y="1302757"/>
          <a:ext cx="2101894" cy="850024"/>
          <a:chOff x="0" y="1295400"/>
          <a:chExt cx="2087880" cy="845820"/>
        </a:xfrm>
      </xdr:grpSpPr>
      <xdr:sp macro="" textlink="">
        <xdr:nvSpPr>
          <xdr:cNvPr id="30" name="Rectangle: Rounded Corners 29">
            <a:extLst>
              <a:ext uri="{FF2B5EF4-FFF2-40B4-BE49-F238E27FC236}">
                <a16:creationId xmlns:a16="http://schemas.microsoft.com/office/drawing/2014/main" id="{9784274C-B87F-F1BC-6A64-A68A924CCD99}"/>
              </a:ext>
            </a:extLst>
          </xdr:cNvPr>
          <xdr:cNvSpPr/>
        </xdr:nvSpPr>
        <xdr:spPr>
          <a:xfrm>
            <a:off x="0" y="1295400"/>
            <a:ext cx="2011680" cy="84582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1" name="Rectangle: Rounded Corners 30">
            <a:extLst>
              <a:ext uri="{FF2B5EF4-FFF2-40B4-BE49-F238E27FC236}">
                <a16:creationId xmlns:a16="http://schemas.microsoft.com/office/drawing/2014/main" id="{2020CF8D-A714-1C79-79F5-F0D9502F5610}"/>
              </a:ext>
            </a:extLst>
          </xdr:cNvPr>
          <xdr:cNvSpPr/>
        </xdr:nvSpPr>
        <xdr:spPr>
          <a:xfrm>
            <a:off x="0" y="1295400"/>
            <a:ext cx="754380" cy="835200"/>
          </a:xfrm>
          <a:prstGeom prst="roundRect">
            <a:avLst/>
          </a:prstGeom>
          <a:solidFill>
            <a:schemeClr val="tx2">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2" name="TextBox 31">
            <a:extLst>
              <a:ext uri="{FF2B5EF4-FFF2-40B4-BE49-F238E27FC236}">
                <a16:creationId xmlns:a16="http://schemas.microsoft.com/office/drawing/2014/main" id="{F05DF01C-B047-FB37-4649-1FD4509290B6}"/>
              </a:ext>
            </a:extLst>
          </xdr:cNvPr>
          <xdr:cNvSpPr txBox="1"/>
        </xdr:nvSpPr>
        <xdr:spPr>
          <a:xfrm>
            <a:off x="1013460" y="1379220"/>
            <a:ext cx="10744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tx2">
                    <a:lumMod val="60000"/>
                    <a:lumOff val="40000"/>
                  </a:schemeClr>
                </a:solidFill>
              </a:rPr>
              <a:t> Profit</a:t>
            </a:r>
          </a:p>
        </xdr:txBody>
      </xdr:sp>
      <xdr:sp macro="" textlink="'Sales Data'!K6">
        <xdr:nvSpPr>
          <xdr:cNvPr id="33" name="TextBox 32">
            <a:extLst>
              <a:ext uri="{FF2B5EF4-FFF2-40B4-BE49-F238E27FC236}">
                <a16:creationId xmlns:a16="http://schemas.microsoft.com/office/drawing/2014/main" id="{FCB6CD8C-0CC5-64F7-0641-07A13A939E60}"/>
              </a:ext>
            </a:extLst>
          </xdr:cNvPr>
          <xdr:cNvSpPr txBox="1"/>
        </xdr:nvSpPr>
        <xdr:spPr>
          <a:xfrm>
            <a:off x="1013460" y="1661160"/>
            <a:ext cx="8001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36C47F9-3BA1-4CDF-AB1B-CF3BABA6F55E}" type="TxLink">
              <a:rPr lang="en-US" sz="1100" b="1" i="0" u="none" strike="noStrike">
                <a:solidFill>
                  <a:schemeClr val="tx2">
                    <a:lumMod val="60000"/>
                    <a:lumOff val="40000"/>
                  </a:schemeClr>
                </a:solidFill>
                <a:latin typeface="Calibri"/>
                <a:ea typeface="Calibri"/>
                <a:cs typeface="Calibri"/>
              </a:rPr>
              <a:pPr/>
              <a:t>24354.18</a:t>
            </a:fld>
            <a:endParaRPr lang="en-IN" sz="1200" b="1">
              <a:solidFill>
                <a:schemeClr val="tx2">
                  <a:lumMod val="60000"/>
                  <a:lumOff val="40000"/>
                </a:schemeClr>
              </a:solidFill>
            </a:endParaRPr>
          </a:p>
        </xdr:txBody>
      </xdr:sp>
    </xdr:grpSp>
    <xdr:clientData/>
  </xdr:twoCellAnchor>
  <xdr:twoCellAnchor editAs="oneCell">
    <xdr:from>
      <xdr:col>3</xdr:col>
      <xdr:colOff>541020</xdr:colOff>
      <xdr:row>8</xdr:row>
      <xdr:rowOff>114300</xdr:rowOff>
    </xdr:from>
    <xdr:to>
      <xdr:col>4</xdr:col>
      <xdr:colOff>291420</xdr:colOff>
      <xdr:row>10</xdr:row>
      <xdr:rowOff>108540</xdr:rowOff>
    </xdr:to>
    <xdr:pic>
      <xdr:nvPicPr>
        <xdr:cNvPr id="35" name="Graphic 34" descr="Coins with solid fill">
          <a:extLst>
            <a:ext uri="{FF2B5EF4-FFF2-40B4-BE49-F238E27FC236}">
              <a16:creationId xmlns:a16="http://schemas.microsoft.com/office/drawing/2014/main" id="{3E7BE9C3-D658-9912-5C67-8C24127477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369820" y="1577340"/>
          <a:ext cx="360000" cy="360000"/>
        </a:xfrm>
        <a:prstGeom prst="rect">
          <a:avLst/>
        </a:prstGeom>
      </xdr:spPr>
    </xdr:pic>
    <xdr:clientData/>
  </xdr:twoCellAnchor>
  <xdr:twoCellAnchor editAs="oneCell">
    <xdr:from>
      <xdr:col>0</xdr:col>
      <xdr:colOff>203340</xdr:colOff>
      <xdr:row>8</xdr:row>
      <xdr:rowOff>35700</xdr:rowOff>
    </xdr:from>
    <xdr:to>
      <xdr:col>0</xdr:col>
      <xdr:colOff>563340</xdr:colOff>
      <xdr:row>10</xdr:row>
      <xdr:rowOff>29940</xdr:rowOff>
    </xdr:to>
    <xdr:pic>
      <xdr:nvPicPr>
        <xdr:cNvPr id="37" name="Graphic 36" descr="Money with solid fill">
          <a:extLst>
            <a:ext uri="{FF2B5EF4-FFF2-40B4-BE49-F238E27FC236}">
              <a16:creationId xmlns:a16="http://schemas.microsoft.com/office/drawing/2014/main" id="{EBF51E01-8B12-0623-5A64-9C805E49C94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03340" y="1498740"/>
          <a:ext cx="360000" cy="360000"/>
        </a:xfrm>
        <a:prstGeom prst="rect">
          <a:avLst/>
        </a:prstGeom>
      </xdr:spPr>
    </xdr:pic>
    <xdr:clientData/>
  </xdr:twoCellAnchor>
  <xdr:twoCellAnchor editAs="oneCell">
    <xdr:from>
      <xdr:col>7</xdr:col>
      <xdr:colOff>284760</xdr:colOff>
      <xdr:row>8</xdr:row>
      <xdr:rowOff>117120</xdr:rowOff>
    </xdr:from>
    <xdr:to>
      <xdr:col>8</xdr:col>
      <xdr:colOff>35160</xdr:colOff>
      <xdr:row>10</xdr:row>
      <xdr:rowOff>111360</xdr:rowOff>
    </xdr:to>
    <xdr:pic>
      <xdr:nvPicPr>
        <xdr:cNvPr id="39" name="Graphic 38" descr="Shopping cart with solid fill">
          <a:extLst>
            <a:ext uri="{FF2B5EF4-FFF2-40B4-BE49-F238E27FC236}">
              <a16:creationId xmlns:a16="http://schemas.microsoft.com/office/drawing/2014/main" id="{83FB84DA-4AB4-BDF6-7921-B6CA8542026C}"/>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551960" y="1580160"/>
          <a:ext cx="360000" cy="360000"/>
        </a:xfrm>
        <a:prstGeom prst="rect">
          <a:avLst/>
        </a:prstGeom>
      </xdr:spPr>
    </xdr:pic>
    <xdr:clientData/>
  </xdr:twoCellAnchor>
  <xdr:twoCellAnchor editAs="oneCell">
    <xdr:from>
      <xdr:col>11</xdr:col>
      <xdr:colOff>8040</xdr:colOff>
      <xdr:row>8</xdr:row>
      <xdr:rowOff>69000</xdr:rowOff>
    </xdr:from>
    <xdr:to>
      <xdr:col>11</xdr:col>
      <xdr:colOff>368040</xdr:colOff>
      <xdr:row>10</xdr:row>
      <xdr:rowOff>63240</xdr:rowOff>
    </xdr:to>
    <xdr:pic>
      <xdr:nvPicPr>
        <xdr:cNvPr id="41" name="Graphic 40" descr="Upward trend with solid fill">
          <a:extLst>
            <a:ext uri="{FF2B5EF4-FFF2-40B4-BE49-F238E27FC236}">
              <a16:creationId xmlns:a16="http://schemas.microsoft.com/office/drawing/2014/main" id="{DA2F1560-E4A6-1787-D539-698806444BC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713640" y="1532040"/>
          <a:ext cx="360000" cy="360000"/>
        </a:xfrm>
        <a:prstGeom prst="rect">
          <a:avLst/>
        </a:prstGeom>
      </xdr:spPr>
    </xdr:pic>
    <xdr:clientData/>
  </xdr:twoCellAnchor>
  <xdr:twoCellAnchor>
    <xdr:from>
      <xdr:col>6</xdr:col>
      <xdr:colOff>350520</xdr:colOff>
      <xdr:row>1</xdr:row>
      <xdr:rowOff>137160</xdr:rowOff>
    </xdr:from>
    <xdr:to>
      <xdr:col>15</xdr:col>
      <xdr:colOff>548640</xdr:colOff>
      <xdr:row>4</xdr:row>
      <xdr:rowOff>53340</xdr:rowOff>
    </xdr:to>
    <xdr:sp macro="" textlink="">
      <xdr:nvSpPr>
        <xdr:cNvPr id="42" name="TextBox 41">
          <a:extLst>
            <a:ext uri="{FF2B5EF4-FFF2-40B4-BE49-F238E27FC236}">
              <a16:creationId xmlns:a16="http://schemas.microsoft.com/office/drawing/2014/main" id="{22697257-0E58-331D-354F-91D95DFD5841}"/>
            </a:ext>
          </a:extLst>
        </xdr:cNvPr>
        <xdr:cNvSpPr txBox="1"/>
      </xdr:nvSpPr>
      <xdr:spPr>
        <a:xfrm>
          <a:off x="4008120" y="320040"/>
          <a:ext cx="5684520" cy="464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a:solidFill>
                <a:schemeClr val="tx2">
                  <a:lumMod val="60000"/>
                  <a:lumOff val="40000"/>
                </a:schemeClr>
              </a:solidFill>
            </a:rPr>
            <a:t>SALES DASHBOARD - 2025</a:t>
          </a:r>
        </a:p>
      </xdr:txBody>
    </xdr:sp>
    <xdr:clientData/>
  </xdr:twoCellAnchor>
  <xdr:twoCellAnchor editAs="oneCell">
    <xdr:from>
      <xdr:col>5</xdr:col>
      <xdr:colOff>311281</xdr:colOff>
      <xdr:row>2</xdr:row>
      <xdr:rowOff>2715</xdr:rowOff>
    </xdr:from>
    <xdr:to>
      <xdr:col>6</xdr:col>
      <xdr:colOff>384328</xdr:colOff>
      <xdr:row>4</xdr:row>
      <xdr:rowOff>140138</xdr:rowOff>
    </xdr:to>
    <xdr:pic>
      <xdr:nvPicPr>
        <xdr:cNvPr id="44" name="Picture 43">
          <a:extLst>
            <a:ext uri="{FF2B5EF4-FFF2-40B4-BE49-F238E27FC236}">
              <a16:creationId xmlns:a16="http://schemas.microsoft.com/office/drawing/2014/main" id="{77E7146F-2CA2-55DC-788D-1137616D02FD}"/>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3376798" y="370577"/>
          <a:ext cx="686151" cy="505285"/>
        </a:xfrm>
        <a:prstGeom prst="rect">
          <a:avLst/>
        </a:prstGeom>
      </xdr:spPr>
    </xdr:pic>
    <xdr:clientData/>
  </xdr:twoCellAnchor>
  <xdr:twoCellAnchor editAs="oneCell">
    <xdr:from>
      <xdr:col>14</xdr:col>
      <xdr:colOff>144780</xdr:colOff>
      <xdr:row>7</xdr:row>
      <xdr:rowOff>99060</xdr:rowOff>
    </xdr:from>
    <xdr:to>
      <xdr:col>20</xdr:col>
      <xdr:colOff>411480</xdr:colOff>
      <xdr:row>11</xdr:row>
      <xdr:rowOff>38100</xdr:rowOff>
    </xdr:to>
    <mc:AlternateContent xmlns:mc="http://schemas.openxmlformats.org/markup-compatibility/2006" xmlns:a14="http://schemas.microsoft.com/office/drawing/2010/main">
      <mc:Choice Requires="a14">
        <xdr:graphicFrame macro="">
          <xdr:nvGraphicFramePr>
            <xdr:cNvPr id="45" name="Region 1">
              <a:extLst>
                <a:ext uri="{FF2B5EF4-FFF2-40B4-BE49-F238E27FC236}">
                  <a16:creationId xmlns:a16="http://schemas.microsoft.com/office/drawing/2014/main" id="{B8E36CB1-6FC7-48FC-A225-003CC28B54B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8616427" y="1354119"/>
              <a:ext cx="3897406" cy="6562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68580</xdr:colOff>
      <xdr:row>31</xdr:row>
      <xdr:rowOff>152400</xdr:rowOff>
    </xdr:from>
    <xdr:to>
      <xdr:col>3</xdr:col>
      <xdr:colOff>68580</xdr:colOff>
      <xdr:row>53</xdr:row>
      <xdr:rowOff>137160</xdr:rowOff>
    </xdr:to>
    <mc:AlternateContent xmlns:mc="http://schemas.openxmlformats.org/markup-compatibility/2006" xmlns:a14="http://schemas.microsoft.com/office/drawing/2010/main">
      <mc:Choice Requires="a14">
        <xdr:graphicFrame macro="">
          <xdr:nvGraphicFramePr>
            <xdr:cNvPr id="46" name="Sales Person 1">
              <a:extLst>
                <a:ext uri="{FF2B5EF4-FFF2-40B4-BE49-F238E27FC236}">
                  <a16:creationId xmlns:a16="http://schemas.microsoft.com/office/drawing/2014/main" id="{6A8D4397-FF78-476D-B6C9-3F303A1712FD}"/>
                </a:ext>
              </a:extLst>
            </xdr:cNvPr>
            <xdr:cNvGraphicFramePr/>
          </xdr:nvGraphicFramePr>
          <xdr:xfrm>
            <a:off x="0" y="0"/>
            <a:ext cx="0" cy="0"/>
          </xdr:xfrm>
          <a:graphic>
            <a:graphicData uri="http://schemas.microsoft.com/office/drawing/2010/slicer">
              <sle:slicer xmlns:sle="http://schemas.microsoft.com/office/drawing/2010/slicer" name="Sales Person 1"/>
            </a:graphicData>
          </a:graphic>
        </xdr:graphicFrame>
      </mc:Choice>
      <mc:Fallback xmlns="">
        <xdr:sp macro="" textlink="">
          <xdr:nvSpPr>
            <xdr:cNvPr id="0" name=""/>
            <xdr:cNvSpPr>
              <a:spLocks noTextEdit="1"/>
            </xdr:cNvSpPr>
          </xdr:nvSpPr>
          <xdr:spPr>
            <a:xfrm>
              <a:off x="68580" y="5710518"/>
              <a:ext cx="1815353" cy="39292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12</xdr:row>
      <xdr:rowOff>68580</xdr:rowOff>
    </xdr:from>
    <xdr:to>
      <xdr:col>3</xdr:col>
      <xdr:colOff>76200</xdr:colOff>
      <xdr:row>31</xdr:row>
      <xdr:rowOff>137160</xdr:rowOff>
    </xdr:to>
    <mc:AlternateContent xmlns:mc="http://schemas.openxmlformats.org/markup-compatibility/2006" xmlns:a14="http://schemas.microsoft.com/office/drawing/2010/main">
      <mc:Choice Requires="a14">
        <xdr:graphicFrame macro="">
          <xdr:nvGraphicFramePr>
            <xdr:cNvPr id="47" name="Product 1">
              <a:extLst>
                <a:ext uri="{FF2B5EF4-FFF2-40B4-BE49-F238E27FC236}">
                  <a16:creationId xmlns:a16="http://schemas.microsoft.com/office/drawing/2014/main" id="{C3DE6BDB-7A8F-4F84-A24B-DB83BD8952BE}"/>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76200" y="2220109"/>
              <a:ext cx="1815353" cy="34751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243840</xdr:colOff>
      <xdr:row>12</xdr:row>
      <xdr:rowOff>175260</xdr:rowOff>
    </xdr:from>
    <xdr:to>
      <xdr:col>12</xdr:col>
      <xdr:colOff>213360</xdr:colOff>
      <xdr:row>31</xdr:row>
      <xdr:rowOff>137160</xdr:rowOff>
    </xdr:to>
    <xdr:sp macro="" textlink="">
      <xdr:nvSpPr>
        <xdr:cNvPr id="48" name="Rectangle: Rounded Corners 47">
          <a:extLst>
            <a:ext uri="{FF2B5EF4-FFF2-40B4-BE49-F238E27FC236}">
              <a16:creationId xmlns:a16="http://schemas.microsoft.com/office/drawing/2014/main" id="{68B8FBBB-0A6E-EA8F-AD07-2BC0FB57BAD9}"/>
            </a:ext>
          </a:extLst>
        </xdr:cNvPr>
        <xdr:cNvSpPr/>
      </xdr:nvSpPr>
      <xdr:spPr>
        <a:xfrm>
          <a:off x="2072640" y="2369820"/>
          <a:ext cx="5455920" cy="343662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tx2">
                  <a:lumMod val="60000"/>
                  <a:lumOff val="40000"/>
                </a:schemeClr>
              </a:solidFill>
            </a:rPr>
            <a:t>Unit</a:t>
          </a:r>
          <a:r>
            <a:rPr lang="en-IN" sz="1200" b="1" baseline="0">
              <a:solidFill>
                <a:schemeClr val="tx2">
                  <a:lumMod val="60000"/>
                  <a:lumOff val="40000"/>
                </a:schemeClr>
              </a:solidFill>
            </a:rPr>
            <a:t> Sold by Product</a:t>
          </a:r>
          <a:endParaRPr lang="en-IN" sz="1200" b="1">
            <a:solidFill>
              <a:schemeClr val="tx2">
                <a:lumMod val="60000"/>
                <a:lumOff val="40000"/>
              </a:schemeClr>
            </a:solidFill>
          </a:endParaRPr>
        </a:p>
      </xdr:txBody>
    </xdr:sp>
    <xdr:clientData/>
  </xdr:twoCellAnchor>
  <xdr:twoCellAnchor>
    <xdr:from>
      <xdr:col>4</xdr:col>
      <xdr:colOff>91440</xdr:colOff>
      <xdr:row>16</xdr:row>
      <xdr:rowOff>99060</xdr:rowOff>
    </xdr:from>
    <xdr:to>
      <xdr:col>10</xdr:col>
      <xdr:colOff>426720</xdr:colOff>
      <xdr:row>30</xdr:row>
      <xdr:rowOff>34290</xdr:rowOff>
    </xdr:to>
    <xdr:graphicFrame macro="">
      <xdr:nvGraphicFramePr>
        <xdr:cNvPr id="49" name="Chart 48">
          <a:extLst>
            <a:ext uri="{FF2B5EF4-FFF2-40B4-BE49-F238E27FC236}">
              <a16:creationId xmlns:a16="http://schemas.microsoft.com/office/drawing/2014/main" id="{CC4B04EA-801B-46C9-98D6-1178F20409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12</xdr:col>
      <xdr:colOff>365760</xdr:colOff>
      <xdr:row>12</xdr:row>
      <xdr:rowOff>106680</xdr:rowOff>
    </xdr:from>
    <xdr:to>
      <xdr:col>20</xdr:col>
      <xdr:colOff>403860</xdr:colOff>
      <xdr:row>31</xdr:row>
      <xdr:rowOff>68580</xdr:rowOff>
    </xdr:to>
    <xdr:sp macro="" textlink="">
      <xdr:nvSpPr>
        <xdr:cNvPr id="50" name="Rectangle: Rounded Corners 49">
          <a:extLst>
            <a:ext uri="{FF2B5EF4-FFF2-40B4-BE49-F238E27FC236}">
              <a16:creationId xmlns:a16="http://schemas.microsoft.com/office/drawing/2014/main" id="{2B78BFAB-4385-3820-3432-97BA70390B9C}"/>
            </a:ext>
          </a:extLst>
        </xdr:cNvPr>
        <xdr:cNvSpPr/>
      </xdr:nvSpPr>
      <xdr:spPr>
        <a:xfrm>
          <a:off x="7680960" y="2301240"/>
          <a:ext cx="4914900" cy="343662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tx2">
                  <a:lumMod val="60000"/>
                  <a:lumOff val="40000"/>
                </a:schemeClr>
              </a:solidFill>
            </a:rPr>
            <a:t>Total</a:t>
          </a:r>
          <a:r>
            <a:rPr lang="en-IN" sz="1200" b="1" baseline="0">
              <a:solidFill>
                <a:schemeClr val="tx2">
                  <a:lumMod val="60000"/>
                  <a:lumOff val="40000"/>
                </a:schemeClr>
              </a:solidFill>
            </a:rPr>
            <a:t> Sales by Region</a:t>
          </a:r>
          <a:endParaRPr lang="en-IN" sz="1200" b="1">
            <a:solidFill>
              <a:schemeClr val="tx2">
                <a:lumMod val="60000"/>
                <a:lumOff val="40000"/>
              </a:schemeClr>
            </a:solidFill>
          </a:endParaRPr>
        </a:p>
      </xdr:txBody>
    </xdr:sp>
    <xdr:clientData/>
  </xdr:twoCellAnchor>
  <xdr:twoCellAnchor>
    <xdr:from>
      <xdr:col>3</xdr:col>
      <xdr:colOff>304800</xdr:colOff>
      <xdr:row>33</xdr:row>
      <xdr:rowOff>22860</xdr:rowOff>
    </xdr:from>
    <xdr:to>
      <xdr:col>12</xdr:col>
      <xdr:colOff>198120</xdr:colOff>
      <xdr:row>53</xdr:row>
      <xdr:rowOff>152400</xdr:rowOff>
    </xdr:to>
    <xdr:sp macro="" textlink="">
      <xdr:nvSpPr>
        <xdr:cNvPr id="51" name="Rectangle: Rounded Corners 50">
          <a:extLst>
            <a:ext uri="{FF2B5EF4-FFF2-40B4-BE49-F238E27FC236}">
              <a16:creationId xmlns:a16="http://schemas.microsoft.com/office/drawing/2014/main" id="{070CBC62-09F9-C556-DB13-2E495AD6A3FB}"/>
            </a:ext>
          </a:extLst>
        </xdr:cNvPr>
        <xdr:cNvSpPr/>
      </xdr:nvSpPr>
      <xdr:spPr>
        <a:xfrm>
          <a:off x="2133600" y="6057900"/>
          <a:ext cx="5379720" cy="378714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tx2">
                  <a:lumMod val="60000"/>
                  <a:lumOff val="40000"/>
                </a:schemeClr>
              </a:solidFill>
            </a:rPr>
            <a:t>Total</a:t>
          </a:r>
          <a:r>
            <a:rPr lang="en-IN" sz="1200" b="1" baseline="0">
              <a:solidFill>
                <a:schemeClr val="tx2">
                  <a:lumMod val="60000"/>
                  <a:lumOff val="40000"/>
                </a:schemeClr>
              </a:solidFill>
            </a:rPr>
            <a:t> Sales by Product</a:t>
          </a:r>
          <a:endParaRPr lang="en-IN" sz="1200" b="1">
            <a:solidFill>
              <a:schemeClr val="tx2">
                <a:lumMod val="60000"/>
                <a:lumOff val="40000"/>
              </a:schemeClr>
            </a:solidFill>
          </a:endParaRPr>
        </a:p>
      </xdr:txBody>
    </xdr:sp>
    <xdr:clientData/>
  </xdr:twoCellAnchor>
  <xdr:twoCellAnchor>
    <xdr:from>
      <xdr:col>12</xdr:col>
      <xdr:colOff>304800</xdr:colOff>
      <xdr:row>32</xdr:row>
      <xdr:rowOff>121920</xdr:rowOff>
    </xdr:from>
    <xdr:to>
      <xdr:col>20</xdr:col>
      <xdr:colOff>495300</xdr:colOff>
      <xdr:row>53</xdr:row>
      <xdr:rowOff>144780</xdr:rowOff>
    </xdr:to>
    <xdr:sp macro="" textlink="">
      <xdr:nvSpPr>
        <xdr:cNvPr id="52" name="Rectangle: Rounded Corners 51">
          <a:extLst>
            <a:ext uri="{FF2B5EF4-FFF2-40B4-BE49-F238E27FC236}">
              <a16:creationId xmlns:a16="http://schemas.microsoft.com/office/drawing/2014/main" id="{479894DE-764C-1B31-AC8D-C9AEEB38BDD8}"/>
            </a:ext>
          </a:extLst>
        </xdr:cNvPr>
        <xdr:cNvSpPr/>
      </xdr:nvSpPr>
      <xdr:spPr>
        <a:xfrm>
          <a:off x="7620000" y="5974080"/>
          <a:ext cx="5067300" cy="386334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tx2">
                  <a:lumMod val="60000"/>
                  <a:lumOff val="40000"/>
                </a:schemeClr>
              </a:solidFill>
            </a:rPr>
            <a:t>Total</a:t>
          </a:r>
          <a:r>
            <a:rPr lang="en-IN" sz="1200" b="1" baseline="0">
              <a:solidFill>
                <a:schemeClr val="tx2">
                  <a:lumMod val="60000"/>
                  <a:lumOff val="40000"/>
                </a:schemeClr>
              </a:solidFill>
            </a:rPr>
            <a:t> Sales by Sales Person</a:t>
          </a:r>
          <a:endParaRPr lang="en-IN" sz="1200" b="1">
            <a:solidFill>
              <a:schemeClr val="tx2">
                <a:lumMod val="60000"/>
                <a:lumOff val="40000"/>
              </a:schemeClr>
            </a:solidFill>
          </a:endParaRPr>
        </a:p>
      </xdr:txBody>
    </xdr:sp>
    <xdr:clientData/>
  </xdr:twoCellAnchor>
  <xdr:twoCellAnchor>
    <xdr:from>
      <xdr:col>13</xdr:col>
      <xdr:colOff>190500</xdr:colOff>
      <xdr:row>16</xdr:row>
      <xdr:rowOff>30480</xdr:rowOff>
    </xdr:from>
    <xdr:to>
      <xdr:col>17</xdr:col>
      <xdr:colOff>388620</xdr:colOff>
      <xdr:row>29</xdr:row>
      <xdr:rowOff>41910</xdr:rowOff>
    </xdr:to>
    <xdr:graphicFrame macro="">
      <xdr:nvGraphicFramePr>
        <xdr:cNvPr id="53" name="Chart 52">
          <a:extLst>
            <a:ext uri="{FF2B5EF4-FFF2-40B4-BE49-F238E27FC236}">
              <a16:creationId xmlns:a16="http://schemas.microsoft.com/office/drawing/2014/main" id="{4C7E01AD-B735-4DE1-86BB-EA62A83168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251460</xdr:colOff>
      <xdr:row>37</xdr:row>
      <xdr:rowOff>22860</xdr:rowOff>
    </xdr:from>
    <xdr:to>
      <xdr:col>10</xdr:col>
      <xdr:colOff>365760</xdr:colOff>
      <xdr:row>52</xdr:row>
      <xdr:rowOff>22860</xdr:rowOff>
    </xdr:to>
    <xdr:graphicFrame macro="">
      <xdr:nvGraphicFramePr>
        <xdr:cNvPr id="54" name="Chart 53">
          <a:extLst>
            <a:ext uri="{FF2B5EF4-FFF2-40B4-BE49-F238E27FC236}">
              <a16:creationId xmlns:a16="http://schemas.microsoft.com/office/drawing/2014/main" id="{C0C8EF7A-7990-43CB-ADD9-A80C562152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12</xdr:col>
      <xdr:colOff>441960</xdr:colOff>
      <xdr:row>37</xdr:row>
      <xdr:rowOff>38100</xdr:rowOff>
    </xdr:from>
    <xdr:to>
      <xdr:col>20</xdr:col>
      <xdr:colOff>220980</xdr:colOff>
      <xdr:row>51</xdr:row>
      <xdr:rowOff>45720</xdr:rowOff>
    </xdr:to>
    <xdr:graphicFrame macro="">
      <xdr:nvGraphicFramePr>
        <xdr:cNvPr id="55" name="Chart 54">
          <a:extLst>
            <a:ext uri="{FF2B5EF4-FFF2-40B4-BE49-F238E27FC236}">
              <a16:creationId xmlns:a16="http://schemas.microsoft.com/office/drawing/2014/main" id="{8FA01D5E-BBF2-4F60-A6B9-EDA46317B0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25</xdr:row>
      <xdr:rowOff>60960</xdr:rowOff>
    </xdr:from>
    <xdr:to>
      <xdr:col>3</xdr:col>
      <xdr:colOff>38100</xdr:colOff>
      <xdr:row>38</xdr:row>
      <xdr:rowOff>72390</xdr:rowOff>
    </xdr:to>
    <xdr:graphicFrame macro="">
      <xdr:nvGraphicFramePr>
        <xdr:cNvPr id="2" name="Chart 1">
          <a:extLst>
            <a:ext uri="{FF2B5EF4-FFF2-40B4-BE49-F238E27FC236}">
              <a16:creationId xmlns:a16="http://schemas.microsoft.com/office/drawing/2014/main" id="{A899B8EC-08C2-DB68-4722-B42DC2BBBD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274320</xdr:colOff>
      <xdr:row>25</xdr:row>
      <xdr:rowOff>19050</xdr:rowOff>
    </xdr:from>
    <xdr:to>
      <xdr:col>6</xdr:col>
      <xdr:colOff>815340</xdr:colOff>
      <xdr:row>39</xdr:row>
      <xdr:rowOff>38100</xdr:rowOff>
    </xdr:to>
    <xdr:graphicFrame macro="">
      <xdr:nvGraphicFramePr>
        <xdr:cNvPr id="3" name="Chart 2">
          <a:extLst>
            <a:ext uri="{FF2B5EF4-FFF2-40B4-BE49-F238E27FC236}">
              <a16:creationId xmlns:a16="http://schemas.microsoft.com/office/drawing/2014/main" id="{5D988CDB-4563-DFDA-C846-547B122011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906780</xdr:colOff>
      <xdr:row>24</xdr:row>
      <xdr:rowOff>179070</xdr:rowOff>
    </xdr:from>
    <xdr:to>
      <xdr:col>10</xdr:col>
      <xdr:colOff>426720</xdr:colOff>
      <xdr:row>39</xdr:row>
      <xdr:rowOff>53340</xdr:rowOff>
    </xdr:to>
    <xdr:graphicFrame macro="">
      <xdr:nvGraphicFramePr>
        <xdr:cNvPr id="4" name="Chart 3">
          <a:extLst>
            <a:ext uri="{FF2B5EF4-FFF2-40B4-BE49-F238E27FC236}">
              <a16:creationId xmlns:a16="http://schemas.microsoft.com/office/drawing/2014/main" id="{63AF089C-FA76-FA1E-3D9F-DF564B69F0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655320</xdr:colOff>
      <xdr:row>25</xdr:row>
      <xdr:rowOff>3810</xdr:rowOff>
    </xdr:from>
    <xdr:to>
      <xdr:col>16</xdr:col>
      <xdr:colOff>502920</xdr:colOff>
      <xdr:row>38</xdr:row>
      <xdr:rowOff>121920</xdr:rowOff>
    </xdr:to>
    <xdr:graphicFrame macro="">
      <xdr:nvGraphicFramePr>
        <xdr:cNvPr id="5" name="Chart 4">
          <a:extLst>
            <a:ext uri="{FF2B5EF4-FFF2-40B4-BE49-F238E27FC236}">
              <a16:creationId xmlns:a16="http://schemas.microsoft.com/office/drawing/2014/main" id="{E5C36EC0-2F12-7C8F-1670-18CEA1521A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4</xdr:col>
      <xdr:colOff>449580</xdr:colOff>
      <xdr:row>4</xdr:row>
      <xdr:rowOff>76200</xdr:rowOff>
    </xdr:from>
    <xdr:to>
      <xdr:col>6</xdr:col>
      <xdr:colOff>541020</xdr:colOff>
      <xdr:row>17</xdr:row>
      <xdr:rowOff>165735</xdr:rowOff>
    </xdr:to>
    <mc:AlternateContent xmlns:mc="http://schemas.openxmlformats.org/markup-compatibility/2006" xmlns:a14="http://schemas.microsoft.com/office/drawing/2010/main">
      <mc:Choice Requires="a14">
        <xdr:graphicFrame macro="">
          <xdr:nvGraphicFramePr>
            <xdr:cNvPr id="6" name="Sales Person">
              <a:extLst>
                <a:ext uri="{FF2B5EF4-FFF2-40B4-BE49-F238E27FC236}">
                  <a16:creationId xmlns:a16="http://schemas.microsoft.com/office/drawing/2014/main" id="{71E82702-A42B-66A4-84B2-4DC98F472633}"/>
                </a:ext>
              </a:extLst>
            </xdr:cNvPr>
            <xdr:cNvGraphicFramePr/>
          </xdr:nvGraphicFramePr>
          <xdr:xfrm>
            <a:off x="0" y="0"/>
            <a:ext cx="0" cy="0"/>
          </xdr:xfrm>
          <a:graphic>
            <a:graphicData uri="http://schemas.microsoft.com/office/drawing/2010/slicer">
              <sle:slicer xmlns:sle="http://schemas.microsoft.com/office/drawing/2010/slicer" name="Sales Person"/>
            </a:graphicData>
          </a:graphic>
        </xdr:graphicFrame>
      </mc:Choice>
      <mc:Fallback xmlns="">
        <xdr:sp macro="" textlink="">
          <xdr:nvSpPr>
            <xdr:cNvPr id="0" name=""/>
            <xdr:cNvSpPr>
              <a:spLocks noTextEdit="1"/>
            </xdr:cNvSpPr>
          </xdr:nvSpPr>
          <xdr:spPr>
            <a:xfrm>
              <a:off x="4152900" y="8077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464820</xdr:colOff>
      <xdr:row>9</xdr:row>
      <xdr:rowOff>7621</xdr:rowOff>
    </xdr:from>
    <xdr:to>
      <xdr:col>2</xdr:col>
      <xdr:colOff>304800</xdr:colOff>
      <xdr:row>12</xdr:row>
      <xdr:rowOff>129541</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547826B4-BCC5-E774-1C26-9BFEA26E044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64820" y="1653541"/>
              <a:ext cx="1828800" cy="670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281940</xdr:colOff>
      <xdr:row>9</xdr:row>
      <xdr:rowOff>121920</xdr:rowOff>
    </xdr:from>
    <xdr:to>
      <xdr:col>7</xdr:col>
      <xdr:colOff>533400</xdr:colOff>
      <xdr:row>23</xdr:row>
      <xdr:rowOff>28575</xdr:rowOff>
    </xdr:to>
    <mc:AlternateContent xmlns:mc="http://schemas.openxmlformats.org/markup-compatibility/2006" xmlns:a14="http://schemas.microsoft.com/office/drawing/2010/main">
      <mc:Choice Requires="a14">
        <xdr:graphicFrame macro="">
          <xdr:nvGraphicFramePr>
            <xdr:cNvPr id="8" name="Product">
              <a:extLst>
                <a:ext uri="{FF2B5EF4-FFF2-40B4-BE49-F238E27FC236}">
                  <a16:creationId xmlns:a16="http://schemas.microsoft.com/office/drawing/2014/main" id="{DD59F190-EEB2-1690-B1BD-92A087982D43}"/>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5113020" y="17678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nith D" refreshedDate="46058.934733796297" createdVersion="8" refreshedVersion="8" minRefreshableVersion="3" recordCount="500" xr:uid="{FE07CA9F-F8A6-4B99-9E56-0241695E5F4F}">
  <cacheSource type="worksheet">
    <worksheetSource name="Table1"/>
  </cacheSource>
  <cacheFields count="9">
    <cacheField name="Date" numFmtId="0">
      <sharedItems/>
    </cacheField>
    <cacheField name="Sales Person" numFmtId="0">
      <sharedItems count="20">
        <s v="Aiden Miller"/>
        <s v="Amelia Walker"/>
        <s v="Ava Thompson"/>
        <s v="Charlotte White"/>
        <s v="Ella Hall"/>
        <s v="Emma Johnson"/>
        <s v="Ethan Wilson"/>
        <s v="Evelyn Moore"/>
        <s v="Harper Garcia"/>
        <s v="Henry Young"/>
        <s v="Isabella Davis"/>
        <s v="James Allen"/>
        <s v="Liam Carter"/>
        <s v="Logan Taylor"/>
        <s v="Lucas Harris"/>
        <s v="Mason Lee"/>
        <s v="Mia Anderson"/>
        <s v="Noah Smith"/>
        <s v="Oliver Martinez"/>
        <s v="Sophia Clark"/>
      </sharedItems>
    </cacheField>
    <cacheField name="Region" numFmtId="0">
      <sharedItems count="4">
        <s v="South"/>
        <s v="North"/>
        <s v="East"/>
        <s v="West"/>
      </sharedItems>
    </cacheField>
    <cacheField name="Product" numFmtId="0">
      <sharedItems count="20">
        <s v="Desk Lamp"/>
        <s v="Bluetooth Speaker"/>
        <s v="Water Bottle"/>
        <s v="Phone Charger"/>
        <s v="Running Shoes"/>
        <s v="Cotton T-Shirt"/>
        <s v="Study Desk"/>
        <s v="Yoga Mat"/>
        <s v="Bookshelf"/>
        <s v="Notebook Pack"/>
        <s v="Winter Jacket"/>
        <s v="Hoodie"/>
        <s v="Basketball"/>
        <s v="Tennis Racket"/>
        <s v="Ink Cartridge"/>
        <s v="Laptop Stand"/>
        <s v="Office Chair"/>
        <s v="LED Monitor"/>
        <s v="Wireless Mouse"/>
        <s v="Highlighter Set"/>
      </sharedItems>
    </cacheField>
    <cacheField name="Units Sold" numFmtId="0">
      <sharedItems containsSemiMixedTypes="0" containsString="0" containsNumber="1" containsInteger="1" minValue="1" maxValue="5"/>
    </cacheField>
    <cacheField name="Unit Price" numFmtId="0">
      <sharedItems containsSemiMixedTypes="0" containsString="0" containsNumber="1" minValue="2.99" maxValue="145"/>
    </cacheField>
    <cacheField name="Cost of Goods" numFmtId="0">
      <sharedItems containsSemiMixedTypes="0" containsString="0" containsNumber="1" minValue="1" maxValue="100"/>
    </cacheField>
    <cacheField name="Total Sales" numFmtId="0">
      <sharedItems containsSemiMixedTypes="0" containsString="0" containsNumber="1" minValue="2.99" maxValue="725"/>
    </cacheField>
    <cacheField name="Profit" numFmtId="0">
      <sharedItems containsSemiMixedTypes="0" containsString="0" containsNumber="1" minValue="1.9900000000000002" maxValue="225"/>
    </cacheField>
  </cacheFields>
  <extLst>
    <ext xmlns:x14="http://schemas.microsoft.com/office/spreadsheetml/2009/9/main" uri="{725AE2AE-9491-48be-B2B4-4EB974FC3084}">
      <x14:pivotCacheDefinition pivotCacheId="14536371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2024-01-30"/>
    <x v="0"/>
    <x v="0"/>
    <x v="0"/>
    <n v="3"/>
    <n v="22.99"/>
    <n v="14"/>
    <n v="68.97"/>
    <n v="26.97"/>
  </r>
  <r>
    <s v="2024-01-21"/>
    <x v="1"/>
    <x v="1"/>
    <x v="1"/>
    <n v="5"/>
    <n v="45"/>
    <n v="28"/>
    <n v="225"/>
    <n v="85"/>
  </r>
  <r>
    <s v="2024-02-09"/>
    <x v="2"/>
    <x v="2"/>
    <x v="2"/>
    <n v="4"/>
    <n v="12.5"/>
    <n v="6.2"/>
    <n v="50"/>
    <n v="25.2"/>
  </r>
  <r>
    <s v="2024-01-27"/>
    <x v="3"/>
    <x v="1"/>
    <x v="3"/>
    <n v="1"/>
    <n v="11.99"/>
    <n v="5"/>
    <n v="11.99"/>
    <n v="6.99"/>
  </r>
  <r>
    <s v="2024-02-18"/>
    <x v="4"/>
    <x v="3"/>
    <x v="4"/>
    <n v="1"/>
    <n v="59.99"/>
    <n v="35"/>
    <n v="59.99"/>
    <n v="24.990000000000002"/>
  </r>
  <r>
    <s v="2024-02-25"/>
    <x v="5"/>
    <x v="2"/>
    <x v="5"/>
    <n v="4"/>
    <n v="9.99"/>
    <n v="4.5"/>
    <n v="39.96"/>
    <n v="21.96"/>
  </r>
  <r>
    <s v="2024-02-29"/>
    <x v="6"/>
    <x v="3"/>
    <x v="6"/>
    <n v="2"/>
    <n v="120"/>
    <n v="80"/>
    <n v="240"/>
    <n v="80"/>
  </r>
  <r>
    <s v="2024-02-14"/>
    <x v="7"/>
    <x v="2"/>
    <x v="7"/>
    <n v="2"/>
    <n v="20"/>
    <n v="12"/>
    <n v="40"/>
    <n v="16"/>
  </r>
  <r>
    <s v="2024-02-06"/>
    <x v="8"/>
    <x v="0"/>
    <x v="5"/>
    <n v="5"/>
    <n v="9.99"/>
    <n v="4.5"/>
    <n v="49.95"/>
    <n v="27.450000000000003"/>
  </r>
  <r>
    <s v="2024-01-27"/>
    <x v="9"/>
    <x v="2"/>
    <x v="8"/>
    <n v="3"/>
    <n v="145"/>
    <n v="100"/>
    <n v="435"/>
    <n v="135"/>
  </r>
  <r>
    <s v="2024-03-03"/>
    <x v="10"/>
    <x v="1"/>
    <x v="5"/>
    <n v="5"/>
    <n v="9.99"/>
    <n v="4.5"/>
    <n v="49.95"/>
    <n v="27.450000000000003"/>
  </r>
  <r>
    <s v="2024-01-15"/>
    <x v="11"/>
    <x v="0"/>
    <x v="0"/>
    <n v="2"/>
    <n v="22.99"/>
    <n v="14"/>
    <n v="45.98"/>
    <n v="17.979999999999997"/>
  </r>
  <r>
    <s v="2024-03-07"/>
    <x v="12"/>
    <x v="1"/>
    <x v="9"/>
    <n v="4"/>
    <n v="3.5"/>
    <n v="1.2"/>
    <n v="14"/>
    <n v="9.1999999999999993"/>
  </r>
  <r>
    <s v="2024-03-11"/>
    <x v="13"/>
    <x v="2"/>
    <x v="10"/>
    <n v="2"/>
    <n v="79.989999999999995"/>
    <n v="50"/>
    <n v="159.97999999999999"/>
    <n v="59.97999999999999"/>
  </r>
  <r>
    <s v="2024-01-03"/>
    <x v="14"/>
    <x v="2"/>
    <x v="10"/>
    <n v="2"/>
    <n v="79.989999999999995"/>
    <n v="50"/>
    <n v="159.97999999999999"/>
    <n v="59.97999999999999"/>
  </r>
  <r>
    <s v="2024-04-20"/>
    <x v="15"/>
    <x v="3"/>
    <x v="1"/>
    <n v="2"/>
    <n v="45"/>
    <n v="28"/>
    <n v="90"/>
    <n v="34"/>
  </r>
  <r>
    <s v="2024-04-15"/>
    <x v="16"/>
    <x v="1"/>
    <x v="0"/>
    <n v="3"/>
    <n v="22.99"/>
    <n v="14"/>
    <n v="68.97"/>
    <n v="26.97"/>
  </r>
  <r>
    <s v="2024-03-05"/>
    <x v="17"/>
    <x v="0"/>
    <x v="11"/>
    <n v="1"/>
    <n v="34.99"/>
    <n v="18"/>
    <n v="34.99"/>
    <n v="16.990000000000002"/>
  </r>
  <r>
    <s v="2024-04-13"/>
    <x v="18"/>
    <x v="0"/>
    <x v="6"/>
    <n v="1"/>
    <n v="120"/>
    <n v="80"/>
    <n v="120"/>
    <n v="40"/>
  </r>
  <r>
    <s v="2024-02-12"/>
    <x v="19"/>
    <x v="0"/>
    <x v="7"/>
    <n v="5"/>
    <n v="20"/>
    <n v="12"/>
    <n v="100"/>
    <n v="40"/>
  </r>
  <r>
    <s v="2024-03-29"/>
    <x v="0"/>
    <x v="2"/>
    <x v="12"/>
    <n v="3"/>
    <n v="14.99"/>
    <n v="8"/>
    <n v="44.97"/>
    <n v="20.97"/>
  </r>
  <r>
    <s v="2024-02-19"/>
    <x v="1"/>
    <x v="0"/>
    <x v="13"/>
    <n v="4"/>
    <n v="39.99"/>
    <n v="22"/>
    <n v="159.96"/>
    <n v="71.960000000000008"/>
  </r>
  <r>
    <s v="2024-04-16"/>
    <x v="2"/>
    <x v="1"/>
    <x v="14"/>
    <n v="1"/>
    <n v="18"/>
    <n v="9"/>
    <n v="18"/>
    <n v="9"/>
  </r>
  <r>
    <s v="2024-02-01"/>
    <x v="3"/>
    <x v="0"/>
    <x v="15"/>
    <n v="4"/>
    <n v="25"/>
    <n v="12"/>
    <n v="100"/>
    <n v="52"/>
  </r>
  <r>
    <s v="2024-01-21"/>
    <x v="4"/>
    <x v="1"/>
    <x v="10"/>
    <n v="4"/>
    <n v="79.989999999999995"/>
    <n v="50"/>
    <n v="319.95999999999998"/>
    <n v="119.95999999999998"/>
  </r>
  <r>
    <s v="2024-03-21"/>
    <x v="5"/>
    <x v="1"/>
    <x v="6"/>
    <n v="2"/>
    <n v="120"/>
    <n v="80"/>
    <n v="240"/>
    <n v="80"/>
  </r>
  <r>
    <s v="2024-01-24"/>
    <x v="6"/>
    <x v="1"/>
    <x v="0"/>
    <n v="1"/>
    <n v="22.99"/>
    <n v="14"/>
    <n v="22.99"/>
    <n v="8.9899999999999984"/>
  </r>
  <r>
    <s v="2024-01-31"/>
    <x v="7"/>
    <x v="1"/>
    <x v="14"/>
    <n v="4"/>
    <n v="18"/>
    <n v="9"/>
    <n v="72"/>
    <n v="36"/>
  </r>
  <r>
    <s v="2024-01-22"/>
    <x v="8"/>
    <x v="2"/>
    <x v="5"/>
    <n v="1"/>
    <n v="9.99"/>
    <n v="4.5"/>
    <n v="9.99"/>
    <n v="5.49"/>
  </r>
  <r>
    <s v="2024-02-16"/>
    <x v="9"/>
    <x v="0"/>
    <x v="16"/>
    <n v="5"/>
    <n v="89.99"/>
    <n v="60"/>
    <n v="449.95"/>
    <n v="149.94999999999999"/>
  </r>
  <r>
    <s v="2024-01-12"/>
    <x v="10"/>
    <x v="3"/>
    <x v="17"/>
    <n v="4"/>
    <n v="129.99"/>
    <n v="95"/>
    <n v="519.96"/>
    <n v="139.96000000000004"/>
  </r>
  <r>
    <s v="2024-02-09"/>
    <x v="11"/>
    <x v="0"/>
    <x v="7"/>
    <n v="2"/>
    <n v="20"/>
    <n v="12"/>
    <n v="40"/>
    <n v="16"/>
  </r>
  <r>
    <s v="2024-02-16"/>
    <x v="12"/>
    <x v="2"/>
    <x v="1"/>
    <n v="2"/>
    <n v="45"/>
    <n v="28"/>
    <n v="90"/>
    <n v="34"/>
  </r>
  <r>
    <s v="2024-03-02"/>
    <x v="13"/>
    <x v="1"/>
    <x v="10"/>
    <n v="2"/>
    <n v="79.989999999999995"/>
    <n v="50"/>
    <n v="159.97999999999999"/>
    <n v="59.97999999999999"/>
  </r>
  <r>
    <s v="2024-02-28"/>
    <x v="14"/>
    <x v="3"/>
    <x v="6"/>
    <n v="5"/>
    <n v="120"/>
    <n v="80"/>
    <n v="600"/>
    <n v="200"/>
  </r>
  <r>
    <s v="2024-03-25"/>
    <x v="15"/>
    <x v="3"/>
    <x v="12"/>
    <n v="5"/>
    <n v="14.99"/>
    <n v="8"/>
    <n v="74.95"/>
    <n v="34.950000000000003"/>
  </r>
  <r>
    <s v="2024-04-24"/>
    <x v="16"/>
    <x v="0"/>
    <x v="10"/>
    <n v="4"/>
    <n v="79.989999999999995"/>
    <n v="50"/>
    <n v="319.95999999999998"/>
    <n v="119.95999999999998"/>
  </r>
  <r>
    <s v="2024-02-27"/>
    <x v="17"/>
    <x v="3"/>
    <x v="14"/>
    <n v="1"/>
    <n v="18"/>
    <n v="9"/>
    <n v="18"/>
    <n v="9"/>
  </r>
  <r>
    <s v="2024-03-16"/>
    <x v="18"/>
    <x v="2"/>
    <x v="11"/>
    <n v="5"/>
    <n v="34.99"/>
    <n v="18"/>
    <n v="174.95"/>
    <n v="84.949999999999989"/>
  </r>
  <r>
    <s v="2024-04-10"/>
    <x v="19"/>
    <x v="0"/>
    <x v="13"/>
    <n v="2"/>
    <n v="39.99"/>
    <n v="22"/>
    <n v="79.98"/>
    <n v="35.980000000000004"/>
  </r>
  <r>
    <s v="2024-02-04"/>
    <x v="0"/>
    <x v="0"/>
    <x v="3"/>
    <n v="3"/>
    <n v="11.99"/>
    <n v="5"/>
    <n v="35.97"/>
    <n v="20.97"/>
  </r>
  <r>
    <s v="2024-03-05"/>
    <x v="1"/>
    <x v="2"/>
    <x v="14"/>
    <n v="1"/>
    <n v="18"/>
    <n v="9"/>
    <n v="18"/>
    <n v="9"/>
  </r>
  <r>
    <s v="2024-04-04"/>
    <x v="2"/>
    <x v="0"/>
    <x v="7"/>
    <n v="3"/>
    <n v="20"/>
    <n v="12"/>
    <n v="60"/>
    <n v="24"/>
  </r>
  <r>
    <s v="2024-04-22"/>
    <x v="3"/>
    <x v="3"/>
    <x v="4"/>
    <n v="5"/>
    <n v="59.99"/>
    <n v="35"/>
    <n v="299.95"/>
    <n v="124.94999999999999"/>
  </r>
  <r>
    <s v="2024-04-12"/>
    <x v="4"/>
    <x v="1"/>
    <x v="11"/>
    <n v="1"/>
    <n v="34.99"/>
    <n v="18"/>
    <n v="34.99"/>
    <n v="16.990000000000002"/>
  </r>
  <r>
    <s v="2024-04-26"/>
    <x v="5"/>
    <x v="3"/>
    <x v="7"/>
    <n v="1"/>
    <n v="20"/>
    <n v="12"/>
    <n v="20"/>
    <n v="8"/>
  </r>
  <r>
    <s v="2024-03-01"/>
    <x v="6"/>
    <x v="3"/>
    <x v="8"/>
    <n v="2"/>
    <n v="145"/>
    <n v="100"/>
    <n v="290"/>
    <n v="90"/>
  </r>
  <r>
    <s v="2024-04-12"/>
    <x v="7"/>
    <x v="3"/>
    <x v="6"/>
    <n v="4"/>
    <n v="120"/>
    <n v="80"/>
    <n v="480"/>
    <n v="160"/>
  </r>
  <r>
    <s v="2024-03-17"/>
    <x v="8"/>
    <x v="0"/>
    <x v="12"/>
    <n v="3"/>
    <n v="14.99"/>
    <n v="8"/>
    <n v="44.97"/>
    <n v="20.97"/>
  </r>
  <r>
    <s v="2024-04-04"/>
    <x v="9"/>
    <x v="2"/>
    <x v="7"/>
    <n v="5"/>
    <n v="20"/>
    <n v="12"/>
    <n v="100"/>
    <n v="40"/>
  </r>
  <r>
    <s v="2024-03-01"/>
    <x v="10"/>
    <x v="3"/>
    <x v="12"/>
    <n v="5"/>
    <n v="14.99"/>
    <n v="8"/>
    <n v="74.95"/>
    <n v="34.950000000000003"/>
  </r>
  <r>
    <s v="2024-03-25"/>
    <x v="11"/>
    <x v="3"/>
    <x v="2"/>
    <n v="2"/>
    <n v="12.5"/>
    <n v="6.2"/>
    <n v="25"/>
    <n v="12.6"/>
  </r>
  <r>
    <s v="2024-01-07"/>
    <x v="12"/>
    <x v="1"/>
    <x v="4"/>
    <n v="2"/>
    <n v="59.99"/>
    <n v="35"/>
    <n v="119.98"/>
    <n v="49.980000000000004"/>
  </r>
  <r>
    <s v="2024-01-06"/>
    <x v="13"/>
    <x v="3"/>
    <x v="9"/>
    <n v="4"/>
    <n v="3.5"/>
    <n v="1.2"/>
    <n v="14"/>
    <n v="9.1999999999999993"/>
  </r>
  <r>
    <s v="2024-01-17"/>
    <x v="14"/>
    <x v="0"/>
    <x v="4"/>
    <n v="4"/>
    <n v="59.99"/>
    <n v="35"/>
    <n v="239.96"/>
    <n v="99.960000000000008"/>
  </r>
  <r>
    <s v="2024-01-04"/>
    <x v="15"/>
    <x v="1"/>
    <x v="18"/>
    <n v="5"/>
    <n v="15.99"/>
    <n v="9"/>
    <n v="79.95"/>
    <n v="34.950000000000003"/>
  </r>
  <r>
    <s v="2024-01-23"/>
    <x v="16"/>
    <x v="2"/>
    <x v="19"/>
    <n v="2"/>
    <n v="2.99"/>
    <n v="1"/>
    <n v="5.98"/>
    <n v="3.9800000000000004"/>
  </r>
  <r>
    <s v="2024-01-10"/>
    <x v="17"/>
    <x v="3"/>
    <x v="11"/>
    <n v="2"/>
    <n v="34.99"/>
    <n v="18"/>
    <n v="69.98"/>
    <n v="33.980000000000004"/>
  </r>
  <r>
    <s v="2024-04-15"/>
    <x v="18"/>
    <x v="3"/>
    <x v="12"/>
    <n v="2"/>
    <n v="14.99"/>
    <n v="8"/>
    <n v="29.98"/>
    <n v="13.98"/>
  </r>
  <r>
    <s v="2024-02-27"/>
    <x v="19"/>
    <x v="2"/>
    <x v="12"/>
    <n v="3"/>
    <n v="14.99"/>
    <n v="8"/>
    <n v="44.97"/>
    <n v="20.97"/>
  </r>
  <r>
    <s v="2024-03-09"/>
    <x v="0"/>
    <x v="3"/>
    <x v="2"/>
    <n v="1"/>
    <n v="12.5"/>
    <n v="6.2"/>
    <n v="12.5"/>
    <n v="6.3"/>
  </r>
  <r>
    <s v="2024-02-10"/>
    <x v="1"/>
    <x v="0"/>
    <x v="18"/>
    <n v="5"/>
    <n v="15.99"/>
    <n v="9"/>
    <n v="79.95"/>
    <n v="34.950000000000003"/>
  </r>
  <r>
    <s v="2024-01-16"/>
    <x v="2"/>
    <x v="0"/>
    <x v="19"/>
    <n v="1"/>
    <n v="2.99"/>
    <n v="1"/>
    <n v="2.99"/>
    <n v="1.9900000000000002"/>
  </r>
  <r>
    <s v="2024-02-17"/>
    <x v="3"/>
    <x v="2"/>
    <x v="0"/>
    <n v="5"/>
    <n v="22.99"/>
    <n v="14"/>
    <n v="114.95"/>
    <n v="44.95"/>
  </r>
  <r>
    <s v="2024-02-06"/>
    <x v="4"/>
    <x v="2"/>
    <x v="11"/>
    <n v="3"/>
    <n v="34.99"/>
    <n v="18"/>
    <n v="104.97"/>
    <n v="50.97"/>
  </r>
  <r>
    <s v="2024-04-26"/>
    <x v="5"/>
    <x v="1"/>
    <x v="14"/>
    <n v="5"/>
    <n v="18"/>
    <n v="9"/>
    <n v="90"/>
    <n v="45"/>
  </r>
  <r>
    <s v="2024-01-28"/>
    <x v="6"/>
    <x v="0"/>
    <x v="13"/>
    <n v="5"/>
    <n v="39.99"/>
    <n v="22"/>
    <n v="199.95"/>
    <n v="89.949999999999989"/>
  </r>
  <r>
    <s v="2024-01-28"/>
    <x v="7"/>
    <x v="0"/>
    <x v="18"/>
    <n v="2"/>
    <n v="15.99"/>
    <n v="9"/>
    <n v="31.98"/>
    <n v="13.98"/>
  </r>
  <r>
    <s v="2024-01-07"/>
    <x v="8"/>
    <x v="0"/>
    <x v="9"/>
    <n v="1"/>
    <n v="3.5"/>
    <n v="1.2"/>
    <n v="3.5"/>
    <n v="2.2999999999999998"/>
  </r>
  <r>
    <s v="2024-02-06"/>
    <x v="9"/>
    <x v="3"/>
    <x v="1"/>
    <n v="2"/>
    <n v="45"/>
    <n v="28"/>
    <n v="90"/>
    <n v="34"/>
  </r>
  <r>
    <s v="2024-02-24"/>
    <x v="10"/>
    <x v="0"/>
    <x v="16"/>
    <n v="3"/>
    <n v="89.99"/>
    <n v="60"/>
    <n v="269.97000000000003"/>
    <n v="89.970000000000027"/>
  </r>
  <r>
    <s v="2024-04-16"/>
    <x v="11"/>
    <x v="1"/>
    <x v="4"/>
    <n v="3"/>
    <n v="59.99"/>
    <n v="35"/>
    <n v="179.97"/>
    <n v="74.97"/>
  </r>
  <r>
    <s v="2024-02-17"/>
    <x v="12"/>
    <x v="1"/>
    <x v="19"/>
    <n v="1"/>
    <n v="2.99"/>
    <n v="1"/>
    <n v="2.99"/>
    <n v="1.9900000000000002"/>
  </r>
  <r>
    <s v="2024-02-22"/>
    <x v="13"/>
    <x v="1"/>
    <x v="4"/>
    <n v="1"/>
    <n v="59.99"/>
    <n v="35"/>
    <n v="59.99"/>
    <n v="24.990000000000002"/>
  </r>
  <r>
    <s v="2024-02-20"/>
    <x v="14"/>
    <x v="0"/>
    <x v="10"/>
    <n v="5"/>
    <n v="79.989999999999995"/>
    <n v="50"/>
    <n v="399.95"/>
    <n v="149.94999999999999"/>
  </r>
  <r>
    <s v="2024-03-16"/>
    <x v="15"/>
    <x v="1"/>
    <x v="10"/>
    <n v="1"/>
    <n v="79.989999999999995"/>
    <n v="50"/>
    <n v="79.989999999999995"/>
    <n v="29.989999999999995"/>
  </r>
  <r>
    <s v="2024-02-08"/>
    <x v="16"/>
    <x v="2"/>
    <x v="3"/>
    <n v="5"/>
    <n v="11.99"/>
    <n v="5"/>
    <n v="59.95"/>
    <n v="34.950000000000003"/>
  </r>
  <r>
    <s v="2024-01-24"/>
    <x v="17"/>
    <x v="3"/>
    <x v="16"/>
    <n v="2"/>
    <n v="89.99"/>
    <n v="60"/>
    <n v="179.98"/>
    <n v="59.97999999999999"/>
  </r>
  <r>
    <s v="2024-03-12"/>
    <x v="18"/>
    <x v="3"/>
    <x v="12"/>
    <n v="4"/>
    <n v="14.99"/>
    <n v="8"/>
    <n v="59.96"/>
    <n v="27.96"/>
  </r>
  <r>
    <s v="2024-03-07"/>
    <x v="19"/>
    <x v="1"/>
    <x v="4"/>
    <n v="2"/>
    <n v="59.99"/>
    <n v="35"/>
    <n v="119.98"/>
    <n v="49.980000000000004"/>
  </r>
  <r>
    <s v="2024-01-29"/>
    <x v="0"/>
    <x v="3"/>
    <x v="10"/>
    <n v="2"/>
    <n v="79.989999999999995"/>
    <n v="50"/>
    <n v="159.97999999999999"/>
    <n v="59.97999999999999"/>
  </r>
  <r>
    <s v="2024-02-07"/>
    <x v="1"/>
    <x v="3"/>
    <x v="14"/>
    <n v="5"/>
    <n v="18"/>
    <n v="9"/>
    <n v="90"/>
    <n v="45"/>
  </r>
  <r>
    <s v="2024-03-28"/>
    <x v="2"/>
    <x v="2"/>
    <x v="3"/>
    <n v="2"/>
    <n v="11.99"/>
    <n v="5"/>
    <n v="23.98"/>
    <n v="13.98"/>
  </r>
  <r>
    <s v="2024-01-18"/>
    <x v="3"/>
    <x v="3"/>
    <x v="16"/>
    <n v="4"/>
    <n v="89.99"/>
    <n v="60"/>
    <n v="359.96"/>
    <n v="119.95999999999998"/>
  </r>
  <r>
    <s v="2024-04-16"/>
    <x v="4"/>
    <x v="0"/>
    <x v="14"/>
    <n v="4"/>
    <n v="18"/>
    <n v="9"/>
    <n v="72"/>
    <n v="36"/>
  </r>
  <r>
    <s v="2024-02-10"/>
    <x v="5"/>
    <x v="0"/>
    <x v="8"/>
    <n v="4"/>
    <n v="145"/>
    <n v="100"/>
    <n v="580"/>
    <n v="180"/>
  </r>
  <r>
    <s v="2024-01-12"/>
    <x v="6"/>
    <x v="3"/>
    <x v="5"/>
    <n v="5"/>
    <n v="9.99"/>
    <n v="4.5"/>
    <n v="49.95"/>
    <n v="27.450000000000003"/>
  </r>
  <r>
    <s v="2024-02-26"/>
    <x v="7"/>
    <x v="2"/>
    <x v="7"/>
    <n v="1"/>
    <n v="20"/>
    <n v="12"/>
    <n v="20"/>
    <n v="8"/>
  </r>
  <r>
    <s v="2024-04-07"/>
    <x v="8"/>
    <x v="3"/>
    <x v="11"/>
    <n v="2"/>
    <n v="34.99"/>
    <n v="18"/>
    <n v="69.98"/>
    <n v="33.980000000000004"/>
  </r>
  <r>
    <s v="2024-02-03"/>
    <x v="9"/>
    <x v="3"/>
    <x v="4"/>
    <n v="2"/>
    <n v="59.99"/>
    <n v="35"/>
    <n v="119.98"/>
    <n v="49.980000000000004"/>
  </r>
  <r>
    <s v="2024-04-10"/>
    <x v="10"/>
    <x v="1"/>
    <x v="7"/>
    <n v="3"/>
    <n v="20"/>
    <n v="12"/>
    <n v="60"/>
    <n v="24"/>
  </r>
  <r>
    <s v="2024-04-22"/>
    <x v="11"/>
    <x v="3"/>
    <x v="0"/>
    <n v="2"/>
    <n v="22.99"/>
    <n v="14"/>
    <n v="45.98"/>
    <n v="17.979999999999997"/>
  </r>
  <r>
    <s v="2024-04-09"/>
    <x v="12"/>
    <x v="3"/>
    <x v="9"/>
    <n v="5"/>
    <n v="3.5"/>
    <n v="1.2"/>
    <n v="17.5"/>
    <n v="11.5"/>
  </r>
  <r>
    <s v="2024-02-18"/>
    <x v="13"/>
    <x v="2"/>
    <x v="11"/>
    <n v="1"/>
    <n v="34.99"/>
    <n v="18"/>
    <n v="34.99"/>
    <n v="16.990000000000002"/>
  </r>
  <r>
    <s v="2024-04-24"/>
    <x v="14"/>
    <x v="3"/>
    <x v="5"/>
    <n v="4"/>
    <n v="9.99"/>
    <n v="4.5"/>
    <n v="39.96"/>
    <n v="21.96"/>
  </r>
  <r>
    <s v="2024-04-19"/>
    <x v="15"/>
    <x v="0"/>
    <x v="11"/>
    <n v="4"/>
    <n v="34.99"/>
    <n v="18"/>
    <n v="139.96"/>
    <n v="67.960000000000008"/>
  </r>
  <r>
    <s v="2024-03-08"/>
    <x v="16"/>
    <x v="0"/>
    <x v="15"/>
    <n v="4"/>
    <n v="25"/>
    <n v="12"/>
    <n v="100"/>
    <n v="52"/>
  </r>
  <r>
    <s v="2024-03-10"/>
    <x v="17"/>
    <x v="2"/>
    <x v="19"/>
    <n v="3"/>
    <n v="2.99"/>
    <n v="1"/>
    <n v="8.9700000000000006"/>
    <n v="5.9700000000000006"/>
  </r>
  <r>
    <s v="2024-01-11"/>
    <x v="18"/>
    <x v="3"/>
    <x v="19"/>
    <n v="1"/>
    <n v="2.99"/>
    <n v="1"/>
    <n v="2.99"/>
    <n v="1.9900000000000002"/>
  </r>
  <r>
    <s v="2024-03-21"/>
    <x v="19"/>
    <x v="0"/>
    <x v="14"/>
    <n v="3"/>
    <n v="18"/>
    <n v="9"/>
    <n v="54"/>
    <n v="27"/>
  </r>
  <r>
    <s v="2024-04-29"/>
    <x v="0"/>
    <x v="2"/>
    <x v="16"/>
    <n v="4"/>
    <n v="89.99"/>
    <n v="60"/>
    <n v="359.96"/>
    <n v="119.95999999999998"/>
  </r>
  <r>
    <s v="2024-04-14"/>
    <x v="1"/>
    <x v="2"/>
    <x v="1"/>
    <n v="5"/>
    <n v="45"/>
    <n v="28"/>
    <n v="225"/>
    <n v="85"/>
  </r>
  <r>
    <s v="2024-01-08"/>
    <x v="2"/>
    <x v="0"/>
    <x v="15"/>
    <n v="2"/>
    <n v="25"/>
    <n v="12"/>
    <n v="50"/>
    <n v="26"/>
  </r>
  <r>
    <s v="2024-03-25"/>
    <x v="3"/>
    <x v="2"/>
    <x v="9"/>
    <n v="3"/>
    <n v="3.5"/>
    <n v="1.2"/>
    <n v="10.5"/>
    <n v="6.9"/>
  </r>
  <r>
    <s v="2024-03-14"/>
    <x v="4"/>
    <x v="1"/>
    <x v="14"/>
    <n v="2"/>
    <n v="18"/>
    <n v="9"/>
    <n v="36"/>
    <n v="18"/>
  </r>
  <r>
    <s v="2024-04-27"/>
    <x v="5"/>
    <x v="1"/>
    <x v="3"/>
    <n v="1"/>
    <n v="11.99"/>
    <n v="5"/>
    <n v="11.99"/>
    <n v="6.99"/>
  </r>
  <r>
    <s v="2024-01-11"/>
    <x v="6"/>
    <x v="1"/>
    <x v="17"/>
    <n v="4"/>
    <n v="129.99"/>
    <n v="95"/>
    <n v="519.96"/>
    <n v="139.96000000000004"/>
  </r>
  <r>
    <s v="2024-01-18"/>
    <x v="7"/>
    <x v="3"/>
    <x v="19"/>
    <n v="1"/>
    <n v="2.99"/>
    <n v="1"/>
    <n v="2.99"/>
    <n v="1.9900000000000002"/>
  </r>
  <r>
    <s v="2024-01-14"/>
    <x v="8"/>
    <x v="1"/>
    <x v="6"/>
    <n v="1"/>
    <n v="120"/>
    <n v="80"/>
    <n v="120"/>
    <n v="40"/>
  </r>
  <r>
    <s v="2024-01-10"/>
    <x v="9"/>
    <x v="1"/>
    <x v="9"/>
    <n v="4"/>
    <n v="3.5"/>
    <n v="1.2"/>
    <n v="14"/>
    <n v="9.1999999999999993"/>
  </r>
  <r>
    <s v="2024-01-25"/>
    <x v="10"/>
    <x v="2"/>
    <x v="6"/>
    <n v="4"/>
    <n v="120"/>
    <n v="80"/>
    <n v="480"/>
    <n v="160"/>
  </r>
  <r>
    <s v="2024-03-30"/>
    <x v="11"/>
    <x v="0"/>
    <x v="11"/>
    <n v="4"/>
    <n v="34.99"/>
    <n v="18"/>
    <n v="139.96"/>
    <n v="67.960000000000008"/>
  </r>
  <r>
    <s v="2024-01-20"/>
    <x v="12"/>
    <x v="3"/>
    <x v="8"/>
    <n v="5"/>
    <n v="145"/>
    <n v="100"/>
    <n v="725"/>
    <n v="225"/>
  </r>
  <r>
    <s v="2024-01-05"/>
    <x v="13"/>
    <x v="0"/>
    <x v="1"/>
    <n v="1"/>
    <n v="45"/>
    <n v="28"/>
    <n v="45"/>
    <n v="17"/>
  </r>
  <r>
    <s v="2024-02-21"/>
    <x v="14"/>
    <x v="2"/>
    <x v="7"/>
    <n v="5"/>
    <n v="20"/>
    <n v="12"/>
    <n v="100"/>
    <n v="40"/>
  </r>
  <r>
    <s v="2024-04-25"/>
    <x v="15"/>
    <x v="0"/>
    <x v="15"/>
    <n v="5"/>
    <n v="25"/>
    <n v="12"/>
    <n v="125"/>
    <n v="65"/>
  </r>
  <r>
    <s v="2024-03-29"/>
    <x v="16"/>
    <x v="0"/>
    <x v="3"/>
    <n v="4"/>
    <n v="11.99"/>
    <n v="5"/>
    <n v="47.96"/>
    <n v="27.96"/>
  </r>
  <r>
    <s v="2024-03-22"/>
    <x v="17"/>
    <x v="1"/>
    <x v="3"/>
    <n v="1"/>
    <n v="11.99"/>
    <n v="5"/>
    <n v="11.99"/>
    <n v="6.99"/>
  </r>
  <r>
    <s v="2024-03-21"/>
    <x v="18"/>
    <x v="3"/>
    <x v="13"/>
    <n v="5"/>
    <n v="39.99"/>
    <n v="22"/>
    <n v="199.95"/>
    <n v="89.949999999999989"/>
  </r>
  <r>
    <s v="2024-01-11"/>
    <x v="19"/>
    <x v="2"/>
    <x v="5"/>
    <n v="1"/>
    <n v="9.99"/>
    <n v="4.5"/>
    <n v="9.99"/>
    <n v="5.49"/>
  </r>
  <r>
    <s v="2024-04-10"/>
    <x v="0"/>
    <x v="3"/>
    <x v="19"/>
    <n v="1"/>
    <n v="2.99"/>
    <n v="1"/>
    <n v="2.99"/>
    <n v="1.9900000000000002"/>
  </r>
  <r>
    <s v="2024-02-12"/>
    <x v="1"/>
    <x v="0"/>
    <x v="12"/>
    <n v="1"/>
    <n v="14.99"/>
    <n v="8"/>
    <n v="14.99"/>
    <n v="6.99"/>
  </r>
  <r>
    <s v="2024-01-19"/>
    <x v="2"/>
    <x v="3"/>
    <x v="16"/>
    <n v="1"/>
    <n v="89.99"/>
    <n v="60"/>
    <n v="89.99"/>
    <n v="29.989999999999995"/>
  </r>
  <r>
    <s v="2024-03-20"/>
    <x v="3"/>
    <x v="3"/>
    <x v="4"/>
    <n v="3"/>
    <n v="59.99"/>
    <n v="35"/>
    <n v="179.97"/>
    <n v="74.97"/>
  </r>
  <r>
    <s v="2024-02-28"/>
    <x v="4"/>
    <x v="2"/>
    <x v="9"/>
    <n v="5"/>
    <n v="3.5"/>
    <n v="1.2"/>
    <n v="17.5"/>
    <n v="11.5"/>
  </r>
  <r>
    <s v="2024-02-21"/>
    <x v="5"/>
    <x v="1"/>
    <x v="11"/>
    <n v="4"/>
    <n v="34.99"/>
    <n v="18"/>
    <n v="139.96"/>
    <n v="67.960000000000008"/>
  </r>
  <r>
    <s v="2024-01-28"/>
    <x v="6"/>
    <x v="0"/>
    <x v="13"/>
    <n v="3"/>
    <n v="39.99"/>
    <n v="22"/>
    <n v="119.97"/>
    <n v="53.97"/>
  </r>
  <r>
    <s v="2024-04-13"/>
    <x v="7"/>
    <x v="0"/>
    <x v="13"/>
    <n v="4"/>
    <n v="39.99"/>
    <n v="22"/>
    <n v="159.96"/>
    <n v="71.960000000000008"/>
  </r>
  <r>
    <s v="2024-01-31"/>
    <x v="8"/>
    <x v="3"/>
    <x v="6"/>
    <n v="1"/>
    <n v="120"/>
    <n v="80"/>
    <n v="120"/>
    <n v="40"/>
  </r>
  <r>
    <s v="2024-03-03"/>
    <x v="9"/>
    <x v="1"/>
    <x v="19"/>
    <n v="2"/>
    <n v="2.99"/>
    <n v="1"/>
    <n v="5.98"/>
    <n v="3.9800000000000004"/>
  </r>
  <r>
    <s v="2024-04-25"/>
    <x v="10"/>
    <x v="0"/>
    <x v="7"/>
    <n v="1"/>
    <n v="20"/>
    <n v="12"/>
    <n v="20"/>
    <n v="8"/>
  </r>
  <r>
    <s v="2024-04-15"/>
    <x v="11"/>
    <x v="3"/>
    <x v="6"/>
    <n v="5"/>
    <n v="120"/>
    <n v="80"/>
    <n v="600"/>
    <n v="200"/>
  </r>
  <r>
    <s v="2024-03-21"/>
    <x v="12"/>
    <x v="2"/>
    <x v="15"/>
    <n v="4"/>
    <n v="25"/>
    <n v="12"/>
    <n v="100"/>
    <n v="52"/>
  </r>
  <r>
    <s v="2024-01-02"/>
    <x v="13"/>
    <x v="0"/>
    <x v="2"/>
    <n v="2"/>
    <n v="12.5"/>
    <n v="6.2"/>
    <n v="25"/>
    <n v="12.6"/>
  </r>
  <r>
    <s v="2024-03-25"/>
    <x v="14"/>
    <x v="0"/>
    <x v="16"/>
    <n v="2"/>
    <n v="89.99"/>
    <n v="60"/>
    <n v="179.98"/>
    <n v="59.97999999999999"/>
  </r>
  <r>
    <s v="2024-04-12"/>
    <x v="15"/>
    <x v="2"/>
    <x v="17"/>
    <n v="3"/>
    <n v="129.99"/>
    <n v="95"/>
    <n v="389.97"/>
    <n v="104.97000000000003"/>
  </r>
  <r>
    <s v="2024-01-20"/>
    <x v="16"/>
    <x v="3"/>
    <x v="6"/>
    <n v="5"/>
    <n v="120"/>
    <n v="80"/>
    <n v="600"/>
    <n v="200"/>
  </r>
  <r>
    <s v="2024-03-31"/>
    <x v="17"/>
    <x v="2"/>
    <x v="1"/>
    <n v="5"/>
    <n v="45"/>
    <n v="28"/>
    <n v="225"/>
    <n v="85"/>
  </r>
  <r>
    <s v="2024-04-14"/>
    <x v="18"/>
    <x v="3"/>
    <x v="17"/>
    <n v="2"/>
    <n v="129.99"/>
    <n v="95"/>
    <n v="259.98"/>
    <n v="69.980000000000018"/>
  </r>
  <r>
    <s v="2024-03-07"/>
    <x v="19"/>
    <x v="0"/>
    <x v="13"/>
    <n v="2"/>
    <n v="39.99"/>
    <n v="22"/>
    <n v="79.98"/>
    <n v="35.980000000000004"/>
  </r>
  <r>
    <s v="2024-02-08"/>
    <x v="0"/>
    <x v="3"/>
    <x v="15"/>
    <n v="1"/>
    <n v="25"/>
    <n v="12"/>
    <n v="25"/>
    <n v="13"/>
  </r>
  <r>
    <s v="2024-01-26"/>
    <x v="1"/>
    <x v="0"/>
    <x v="6"/>
    <n v="5"/>
    <n v="120"/>
    <n v="80"/>
    <n v="600"/>
    <n v="200"/>
  </r>
  <r>
    <s v="2024-03-20"/>
    <x v="2"/>
    <x v="3"/>
    <x v="3"/>
    <n v="2"/>
    <n v="11.99"/>
    <n v="5"/>
    <n v="23.98"/>
    <n v="13.98"/>
  </r>
  <r>
    <s v="2024-04-12"/>
    <x v="3"/>
    <x v="3"/>
    <x v="8"/>
    <n v="2"/>
    <n v="145"/>
    <n v="100"/>
    <n v="290"/>
    <n v="90"/>
  </r>
  <r>
    <s v="2024-04-17"/>
    <x v="4"/>
    <x v="1"/>
    <x v="9"/>
    <n v="5"/>
    <n v="3.5"/>
    <n v="1.2"/>
    <n v="17.5"/>
    <n v="11.5"/>
  </r>
  <r>
    <s v="2024-03-21"/>
    <x v="5"/>
    <x v="0"/>
    <x v="5"/>
    <n v="2"/>
    <n v="9.99"/>
    <n v="4.5"/>
    <n v="19.98"/>
    <n v="10.98"/>
  </r>
  <r>
    <s v="2024-03-26"/>
    <x v="6"/>
    <x v="3"/>
    <x v="0"/>
    <n v="4"/>
    <n v="22.99"/>
    <n v="14"/>
    <n v="91.96"/>
    <n v="35.959999999999994"/>
  </r>
  <r>
    <s v="2024-02-05"/>
    <x v="7"/>
    <x v="3"/>
    <x v="0"/>
    <n v="2"/>
    <n v="22.99"/>
    <n v="14"/>
    <n v="45.98"/>
    <n v="17.979999999999997"/>
  </r>
  <r>
    <s v="2024-04-11"/>
    <x v="8"/>
    <x v="1"/>
    <x v="7"/>
    <n v="4"/>
    <n v="20"/>
    <n v="12"/>
    <n v="80"/>
    <n v="32"/>
  </r>
  <r>
    <s v="2024-01-23"/>
    <x v="9"/>
    <x v="0"/>
    <x v="10"/>
    <n v="1"/>
    <n v="79.989999999999995"/>
    <n v="50"/>
    <n v="79.989999999999995"/>
    <n v="29.989999999999995"/>
  </r>
  <r>
    <s v="2024-03-18"/>
    <x v="10"/>
    <x v="1"/>
    <x v="2"/>
    <n v="5"/>
    <n v="12.5"/>
    <n v="6.2"/>
    <n v="62.5"/>
    <n v="31.5"/>
  </r>
  <r>
    <s v="2024-04-30"/>
    <x v="11"/>
    <x v="1"/>
    <x v="7"/>
    <n v="5"/>
    <n v="20"/>
    <n v="12"/>
    <n v="100"/>
    <n v="40"/>
  </r>
  <r>
    <s v="2024-04-23"/>
    <x v="12"/>
    <x v="0"/>
    <x v="4"/>
    <n v="2"/>
    <n v="59.99"/>
    <n v="35"/>
    <n v="119.98"/>
    <n v="49.980000000000004"/>
  </r>
  <r>
    <s v="2024-02-04"/>
    <x v="13"/>
    <x v="1"/>
    <x v="6"/>
    <n v="5"/>
    <n v="120"/>
    <n v="80"/>
    <n v="600"/>
    <n v="200"/>
  </r>
  <r>
    <s v="2024-01-17"/>
    <x v="14"/>
    <x v="1"/>
    <x v="9"/>
    <n v="2"/>
    <n v="3.5"/>
    <n v="1.2"/>
    <n v="7"/>
    <n v="4.5999999999999996"/>
  </r>
  <r>
    <s v="2024-01-29"/>
    <x v="15"/>
    <x v="2"/>
    <x v="15"/>
    <n v="2"/>
    <n v="25"/>
    <n v="12"/>
    <n v="50"/>
    <n v="26"/>
  </r>
  <r>
    <s v="2024-02-07"/>
    <x v="16"/>
    <x v="3"/>
    <x v="17"/>
    <n v="1"/>
    <n v="129.99"/>
    <n v="95"/>
    <n v="129.99"/>
    <n v="34.990000000000009"/>
  </r>
  <r>
    <s v="2024-03-30"/>
    <x v="17"/>
    <x v="1"/>
    <x v="13"/>
    <n v="2"/>
    <n v="39.99"/>
    <n v="22"/>
    <n v="79.98"/>
    <n v="35.980000000000004"/>
  </r>
  <r>
    <s v="2024-01-13"/>
    <x v="18"/>
    <x v="1"/>
    <x v="4"/>
    <n v="4"/>
    <n v="59.99"/>
    <n v="35"/>
    <n v="239.96"/>
    <n v="99.960000000000008"/>
  </r>
  <r>
    <s v="2024-01-02"/>
    <x v="19"/>
    <x v="2"/>
    <x v="11"/>
    <n v="3"/>
    <n v="34.99"/>
    <n v="18"/>
    <n v="104.97"/>
    <n v="50.97"/>
  </r>
  <r>
    <s v="2024-01-19"/>
    <x v="0"/>
    <x v="2"/>
    <x v="14"/>
    <n v="1"/>
    <n v="18"/>
    <n v="9"/>
    <n v="18"/>
    <n v="9"/>
  </r>
  <r>
    <s v="2024-04-20"/>
    <x v="1"/>
    <x v="1"/>
    <x v="8"/>
    <n v="4"/>
    <n v="145"/>
    <n v="100"/>
    <n v="580"/>
    <n v="180"/>
  </r>
  <r>
    <s v="2024-03-19"/>
    <x v="2"/>
    <x v="2"/>
    <x v="13"/>
    <n v="2"/>
    <n v="39.99"/>
    <n v="22"/>
    <n v="79.98"/>
    <n v="35.980000000000004"/>
  </r>
  <r>
    <s v="2024-04-04"/>
    <x v="3"/>
    <x v="2"/>
    <x v="15"/>
    <n v="1"/>
    <n v="25"/>
    <n v="12"/>
    <n v="25"/>
    <n v="13"/>
  </r>
  <r>
    <s v="2024-02-18"/>
    <x v="4"/>
    <x v="1"/>
    <x v="6"/>
    <n v="2"/>
    <n v="120"/>
    <n v="80"/>
    <n v="240"/>
    <n v="80"/>
  </r>
  <r>
    <s v="2024-01-25"/>
    <x v="5"/>
    <x v="3"/>
    <x v="1"/>
    <n v="3"/>
    <n v="45"/>
    <n v="28"/>
    <n v="135"/>
    <n v="51"/>
  </r>
  <r>
    <s v="2024-04-07"/>
    <x v="6"/>
    <x v="1"/>
    <x v="5"/>
    <n v="4"/>
    <n v="9.99"/>
    <n v="4.5"/>
    <n v="39.96"/>
    <n v="21.96"/>
  </r>
  <r>
    <s v="2024-01-11"/>
    <x v="7"/>
    <x v="2"/>
    <x v="11"/>
    <n v="3"/>
    <n v="34.99"/>
    <n v="18"/>
    <n v="104.97"/>
    <n v="50.97"/>
  </r>
  <r>
    <s v="2024-01-30"/>
    <x v="8"/>
    <x v="1"/>
    <x v="17"/>
    <n v="2"/>
    <n v="129.99"/>
    <n v="95"/>
    <n v="259.98"/>
    <n v="69.980000000000018"/>
  </r>
  <r>
    <s v="2024-04-07"/>
    <x v="9"/>
    <x v="0"/>
    <x v="11"/>
    <n v="1"/>
    <n v="34.99"/>
    <n v="18"/>
    <n v="34.99"/>
    <n v="16.990000000000002"/>
  </r>
  <r>
    <s v="2024-03-07"/>
    <x v="10"/>
    <x v="1"/>
    <x v="19"/>
    <n v="3"/>
    <n v="2.99"/>
    <n v="1"/>
    <n v="8.9700000000000006"/>
    <n v="5.9700000000000006"/>
  </r>
  <r>
    <s v="2024-02-12"/>
    <x v="11"/>
    <x v="3"/>
    <x v="0"/>
    <n v="4"/>
    <n v="22.99"/>
    <n v="14"/>
    <n v="91.96"/>
    <n v="35.959999999999994"/>
  </r>
  <r>
    <s v="2024-04-28"/>
    <x v="12"/>
    <x v="0"/>
    <x v="0"/>
    <n v="1"/>
    <n v="22.99"/>
    <n v="14"/>
    <n v="22.99"/>
    <n v="8.9899999999999984"/>
  </r>
  <r>
    <s v="2024-01-03"/>
    <x v="13"/>
    <x v="1"/>
    <x v="12"/>
    <n v="4"/>
    <n v="14.99"/>
    <n v="8"/>
    <n v="59.96"/>
    <n v="27.96"/>
  </r>
  <r>
    <s v="2024-02-01"/>
    <x v="14"/>
    <x v="2"/>
    <x v="4"/>
    <n v="4"/>
    <n v="59.99"/>
    <n v="35"/>
    <n v="239.96"/>
    <n v="99.960000000000008"/>
  </r>
  <r>
    <s v="2024-03-11"/>
    <x v="15"/>
    <x v="3"/>
    <x v="0"/>
    <n v="2"/>
    <n v="22.99"/>
    <n v="14"/>
    <n v="45.98"/>
    <n v="17.979999999999997"/>
  </r>
  <r>
    <s v="2024-01-28"/>
    <x v="16"/>
    <x v="2"/>
    <x v="3"/>
    <n v="2"/>
    <n v="11.99"/>
    <n v="5"/>
    <n v="23.98"/>
    <n v="13.98"/>
  </r>
  <r>
    <s v="2024-01-23"/>
    <x v="17"/>
    <x v="1"/>
    <x v="12"/>
    <n v="1"/>
    <n v="14.99"/>
    <n v="8"/>
    <n v="14.99"/>
    <n v="6.99"/>
  </r>
  <r>
    <s v="2024-02-16"/>
    <x v="18"/>
    <x v="2"/>
    <x v="15"/>
    <n v="2"/>
    <n v="25"/>
    <n v="12"/>
    <n v="50"/>
    <n v="26"/>
  </r>
  <r>
    <s v="2024-04-17"/>
    <x v="19"/>
    <x v="1"/>
    <x v="3"/>
    <n v="1"/>
    <n v="11.99"/>
    <n v="5"/>
    <n v="11.99"/>
    <n v="6.99"/>
  </r>
  <r>
    <s v="2024-01-06"/>
    <x v="0"/>
    <x v="2"/>
    <x v="12"/>
    <n v="1"/>
    <n v="14.99"/>
    <n v="8"/>
    <n v="14.99"/>
    <n v="6.99"/>
  </r>
  <r>
    <s v="2024-03-14"/>
    <x v="1"/>
    <x v="1"/>
    <x v="13"/>
    <n v="2"/>
    <n v="39.99"/>
    <n v="22"/>
    <n v="79.98"/>
    <n v="35.980000000000004"/>
  </r>
  <r>
    <s v="2024-03-25"/>
    <x v="2"/>
    <x v="1"/>
    <x v="11"/>
    <n v="1"/>
    <n v="34.99"/>
    <n v="18"/>
    <n v="34.99"/>
    <n v="16.990000000000002"/>
  </r>
  <r>
    <s v="2024-03-18"/>
    <x v="3"/>
    <x v="3"/>
    <x v="6"/>
    <n v="4"/>
    <n v="120"/>
    <n v="80"/>
    <n v="480"/>
    <n v="160"/>
  </r>
  <r>
    <s v="2024-02-02"/>
    <x v="4"/>
    <x v="2"/>
    <x v="3"/>
    <n v="3"/>
    <n v="11.99"/>
    <n v="5"/>
    <n v="35.97"/>
    <n v="20.97"/>
  </r>
  <r>
    <s v="2024-01-06"/>
    <x v="5"/>
    <x v="2"/>
    <x v="7"/>
    <n v="5"/>
    <n v="20"/>
    <n v="12"/>
    <n v="100"/>
    <n v="40"/>
  </r>
  <r>
    <s v="2024-03-05"/>
    <x v="6"/>
    <x v="0"/>
    <x v="11"/>
    <n v="3"/>
    <n v="34.99"/>
    <n v="18"/>
    <n v="104.97"/>
    <n v="50.97"/>
  </r>
  <r>
    <s v="2024-01-08"/>
    <x v="7"/>
    <x v="1"/>
    <x v="19"/>
    <n v="1"/>
    <n v="2.99"/>
    <n v="1"/>
    <n v="2.99"/>
    <n v="1.9900000000000002"/>
  </r>
  <r>
    <s v="2024-04-24"/>
    <x v="8"/>
    <x v="0"/>
    <x v="14"/>
    <n v="5"/>
    <n v="18"/>
    <n v="9"/>
    <n v="90"/>
    <n v="45"/>
  </r>
  <r>
    <s v="2024-04-14"/>
    <x v="9"/>
    <x v="0"/>
    <x v="4"/>
    <n v="5"/>
    <n v="59.99"/>
    <n v="35"/>
    <n v="299.95"/>
    <n v="124.94999999999999"/>
  </r>
  <r>
    <s v="2024-04-18"/>
    <x v="10"/>
    <x v="3"/>
    <x v="5"/>
    <n v="1"/>
    <n v="9.99"/>
    <n v="4.5"/>
    <n v="9.99"/>
    <n v="5.49"/>
  </r>
  <r>
    <s v="2024-04-20"/>
    <x v="11"/>
    <x v="0"/>
    <x v="13"/>
    <n v="3"/>
    <n v="39.99"/>
    <n v="22"/>
    <n v="119.97"/>
    <n v="53.97"/>
  </r>
  <r>
    <s v="2024-04-18"/>
    <x v="12"/>
    <x v="2"/>
    <x v="5"/>
    <n v="4"/>
    <n v="9.99"/>
    <n v="4.5"/>
    <n v="39.96"/>
    <n v="21.96"/>
  </r>
  <r>
    <s v="2024-03-09"/>
    <x v="13"/>
    <x v="0"/>
    <x v="15"/>
    <n v="2"/>
    <n v="25"/>
    <n v="12"/>
    <n v="50"/>
    <n v="26"/>
  </r>
  <r>
    <s v="2024-04-13"/>
    <x v="14"/>
    <x v="2"/>
    <x v="2"/>
    <n v="2"/>
    <n v="12.5"/>
    <n v="6.2"/>
    <n v="25"/>
    <n v="12.6"/>
  </r>
  <r>
    <s v="2024-01-01"/>
    <x v="15"/>
    <x v="3"/>
    <x v="11"/>
    <n v="2"/>
    <n v="34.99"/>
    <n v="18"/>
    <n v="69.98"/>
    <n v="33.980000000000004"/>
  </r>
  <r>
    <s v="2024-01-07"/>
    <x v="16"/>
    <x v="2"/>
    <x v="11"/>
    <n v="1"/>
    <n v="34.99"/>
    <n v="18"/>
    <n v="34.99"/>
    <n v="16.990000000000002"/>
  </r>
  <r>
    <s v="2024-02-08"/>
    <x v="17"/>
    <x v="0"/>
    <x v="15"/>
    <n v="1"/>
    <n v="25"/>
    <n v="12"/>
    <n v="25"/>
    <n v="13"/>
  </r>
  <r>
    <s v="2024-04-12"/>
    <x v="18"/>
    <x v="0"/>
    <x v="11"/>
    <n v="1"/>
    <n v="34.99"/>
    <n v="18"/>
    <n v="34.99"/>
    <n v="16.990000000000002"/>
  </r>
  <r>
    <s v="2024-02-25"/>
    <x v="19"/>
    <x v="1"/>
    <x v="1"/>
    <n v="3"/>
    <n v="45"/>
    <n v="28"/>
    <n v="135"/>
    <n v="51"/>
  </r>
  <r>
    <s v="2024-03-16"/>
    <x v="0"/>
    <x v="1"/>
    <x v="2"/>
    <n v="3"/>
    <n v="12.5"/>
    <n v="6.2"/>
    <n v="37.5"/>
    <n v="18.899999999999999"/>
  </r>
  <r>
    <s v="2024-04-12"/>
    <x v="1"/>
    <x v="0"/>
    <x v="7"/>
    <n v="4"/>
    <n v="20"/>
    <n v="12"/>
    <n v="80"/>
    <n v="32"/>
  </r>
  <r>
    <s v="2024-03-28"/>
    <x v="2"/>
    <x v="3"/>
    <x v="0"/>
    <n v="1"/>
    <n v="22.99"/>
    <n v="14"/>
    <n v="22.99"/>
    <n v="8.9899999999999984"/>
  </r>
  <r>
    <s v="2024-01-30"/>
    <x v="3"/>
    <x v="0"/>
    <x v="11"/>
    <n v="5"/>
    <n v="34.99"/>
    <n v="18"/>
    <n v="174.95"/>
    <n v="84.949999999999989"/>
  </r>
  <r>
    <s v="2024-01-17"/>
    <x v="4"/>
    <x v="0"/>
    <x v="2"/>
    <n v="2"/>
    <n v="12.5"/>
    <n v="6.2"/>
    <n v="25"/>
    <n v="12.6"/>
  </r>
  <r>
    <s v="2024-04-20"/>
    <x v="5"/>
    <x v="2"/>
    <x v="1"/>
    <n v="2"/>
    <n v="45"/>
    <n v="28"/>
    <n v="90"/>
    <n v="34"/>
  </r>
  <r>
    <s v="2024-02-19"/>
    <x v="6"/>
    <x v="0"/>
    <x v="10"/>
    <n v="3"/>
    <n v="79.989999999999995"/>
    <n v="50"/>
    <n v="239.97"/>
    <n v="89.97"/>
  </r>
  <r>
    <s v="2024-03-03"/>
    <x v="7"/>
    <x v="2"/>
    <x v="16"/>
    <n v="2"/>
    <n v="89.99"/>
    <n v="60"/>
    <n v="179.98"/>
    <n v="59.97999999999999"/>
  </r>
  <r>
    <s v="2024-04-21"/>
    <x v="8"/>
    <x v="1"/>
    <x v="18"/>
    <n v="3"/>
    <n v="15.99"/>
    <n v="9"/>
    <n v="47.97"/>
    <n v="20.97"/>
  </r>
  <r>
    <s v="2024-01-12"/>
    <x v="9"/>
    <x v="3"/>
    <x v="4"/>
    <n v="1"/>
    <n v="59.99"/>
    <n v="35"/>
    <n v="59.99"/>
    <n v="24.990000000000002"/>
  </r>
  <r>
    <s v="2024-04-30"/>
    <x v="10"/>
    <x v="1"/>
    <x v="16"/>
    <n v="3"/>
    <n v="89.99"/>
    <n v="60"/>
    <n v="269.97000000000003"/>
    <n v="89.970000000000027"/>
  </r>
  <r>
    <s v="2024-01-19"/>
    <x v="11"/>
    <x v="1"/>
    <x v="1"/>
    <n v="2"/>
    <n v="45"/>
    <n v="28"/>
    <n v="90"/>
    <n v="34"/>
  </r>
  <r>
    <s v="2024-03-17"/>
    <x v="12"/>
    <x v="1"/>
    <x v="19"/>
    <n v="1"/>
    <n v="2.99"/>
    <n v="1"/>
    <n v="2.99"/>
    <n v="1.9900000000000002"/>
  </r>
  <r>
    <s v="2024-01-24"/>
    <x v="13"/>
    <x v="0"/>
    <x v="2"/>
    <n v="4"/>
    <n v="12.5"/>
    <n v="6.2"/>
    <n v="50"/>
    <n v="25.2"/>
  </r>
  <r>
    <s v="2024-03-03"/>
    <x v="14"/>
    <x v="2"/>
    <x v="7"/>
    <n v="3"/>
    <n v="20"/>
    <n v="12"/>
    <n v="60"/>
    <n v="24"/>
  </r>
  <r>
    <s v="2024-03-05"/>
    <x v="15"/>
    <x v="1"/>
    <x v="8"/>
    <n v="4"/>
    <n v="145"/>
    <n v="100"/>
    <n v="580"/>
    <n v="180"/>
  </r>
  <r>
    <s v="2024-03-11"/>
    <x v="16"/>
    <x v="3"/>
    <x v="10"/>
    <n v="3"/>
    <n v="79.989999999999995"/>
    <n v="50"/>
    <n v="239.97"/>
    <n v="89.97"/>
  </r>
  <r>
    <s v="2024-01-28"/>
    <x v="17"/>
    <x v="0"/>
    <x v="10"/>
    <n v="5"/>
    <n v="79.989999999999995"/>
    <n v="50"/>
    <n v="399.95"/>
    <n v="149.94999999999999"/>
  </r>
  <r>
    <s v="2024-03-14"/>
    <x v="18"/>
    <x v="1"/>
    <x v="0"/>
    <n v="4"/>
    <n v="22.99"/>
    <n v="14"/>
    <n v="91.96"/>
    <n v="35.959999999999994"/>
  </r>
  <r>
    <s v="2024-04-02"/>
    <x v="19"/>
    <x v="1"/>
    <x v="8"/>
    <n v="4"/>
    <n v="145"/>
    <n v="100"/>
    <n v="580"/>
    <n v="180"/>
  </r>
  <r>
    <s v="2024-04-25"/>
    <x v="0"/>
    <x v="0"/>
    <x v="4"/>
    <n v="5"/>
    <n v="59.99"/>
    <n v="35"/>
    <n v="299.95"/>
    <n v="124.94999999999999"/>
  </r>
  <r>
    <s v="2024-04-13"/>
    <x v="1"/>
    <x v="3"/>
    <x v="16"/>
    <n v="4"/>
    <n v="89.99"/>
    <n v="60"/>
    <n v="359.96"/>
    <n v="119.95999999999998"/>
  </r>
  <r>
    <s v="2024-02-19"/>
    <x v="2"/>
    <x v="3"/>
    <x v="14"/>
    <n v="5"/>
    <n v="18"/>
    <n v="9"/>
    <n v="90"/>
    <n v="45"/>
  </r>
  <r>
    <s v="2024-03-27"/>
    <x v="3"/>
    <x v="2"/>
    <x v="19"/>
    <n v="2"/>
    <n v="2.99"/>
    <n v="1"/>
    <n v="5.98"/>
    <n v="3.9800000000000004"/>
  </r>
  <r>
    <s v="2024-02-19"/>
    <x v="4"/>
    <x v="1"/>
    <x v="4"/>
    <n v="1"/>
    <n v="59.99"/>
    <n v="35"/>
    <n v="59.99"/>
    <n v="24.990000000000002"/>
  </r>
  <r>
    <s v="2024-04-16"/>
    <x v="5"/>
    <x v="0"/>
    <x v="2"/>
    <n v="2"/>
    <n v="12.5"/>
    <n v="6.2"/>
    <n v="25"/>
    <n v="12.6"/>
  </r>
  <r>
    <s v="2024-03-01"/>
    <x v="6"/>
    <x v="3"/>
    <x v="15"/>
    <n v="3"/>
    <n v="25"/>
    <n v="12"/>
    <n v="75"/>
    <n v="39"/>
  </r>
  <r>
    <s v="2024-03-15"/>
    <x v="7"/>
    <x v="2"/>
    <x v="9"/>
    <n v="3"/>
    <n v="3.5"/>
    <n v="1.2"/>
    <n v="10.5"/>
    <n v="6.9"/>
  </r>
  <r>
    <s v="2024-01-08"/>
    <x v="8"/>
    <x v="3"/>
    <x v="19"/>
    <n v="1"/>
    <n v="2.99"/>
    <n v="1"/>
    <n v="2.99"/>
    <n v="1.9900000000000002"/>
  </r>
  <r>
    <s v="2024-01-12"/>
    <x v="9"/>
    <x v="3"/>
    <x v="11"/>
    <n v="3"/>
    <n v="34.99"/>
    <n v="18"/>
    <n v="104.97"/>
    <n v="50.97"/>
  </r>
  <r>
    <s v="2024-04-24"/>
    <x v="10"/>
    <x v="2"/>
    <x v="5"/>
    <n v="1"/>
    <n v="9.99"/>
    <n v="4.5"/>
    <n v="9.99"/>
    <n v="5.49"/>
  </r>
  <r>
    <s v="2024-03-21"/>
    <x v="11"/>
    <x v="3"/>
    <x v="11"/>
    <n v="5"/>
    <n v="34.99"/>
    <n v="18"/>
    <n v="174.95"/>
    <n v="84.949999999999989"/>
  </r>
  <r>
    <s v="2024-01-08"/>
    <x v="12"/>
    <x v="2"/>
    <x v="6"/>
    <n v="2"/>
    <n v="120"/>
    <n v="80"/>
    <n v="240"/>
    <n v="80"/>
  </r>
  <r>
    <s v="2024-04-15"/>
    <x v="13"/>
    <x v="0"/>
    <x v="19"/>
    <n v="2"/>
    <n v="2.99"/>
    <n v="1"/>
    <n v="5.98"/>
    <n v="3.9800000000000004"/>
  </r>
  <r>
    <s v="2024-04-14"/>
    <x v="14"/>
    <x v="0"/>
    <x v="9"/>
    <n v="3"/>
    <n v="3.5"/>
    <n v="1.2"/>
    <n v="10.5"/>
    <n v="6.9"/>
  </r>
  <r>
    <s v="2024-03-02"/>
    <x v="15"/>
    <x v="1"/>
    <x v="10"/>
    <n v="4"/>
    <n v="79.989999999999995"/>
    <n v="50"/>
    <n v="319.95999999999998"/>
    <n v="119.95999999999998"/>
  </r>
  <r>
    <s v="2024-04-25"/>
    <x v="16"/>
    <x v="2"/>
    <x v="13"/>
    <n v="1"/>
    <n v="39.99"/>
    <n v="22"/>
    <n v="39.99"/>
    <n v="17.990000000000002"/>
  </r>
  <r>
    <s v="2024-03-29"/>
    <x v="17"/>
    <x v="2"/>
    <x v="7"/>
    <n v="3"/>
    <n v="20"/>
    <n v="12"/>
    <n v="60"/>
    <n v="24"/>
  </r>
  <r>
    <s v="2024-01-12"/>
    <x v="18"/>
    <x v="2"/>
    <x v="1"/>
    <n v="4"/>
    <n v="45"/>
    <n v="28"/>
    <n v="180"/>
    <n v="68"/>
  </r>
  <r>
    <s v="2024-03-02"/>
    <x v="19"/>
    <x v="1"/>
    <x v="19"/>
    <n v="4"/>
    <n v="2.99"/>
    <n v="1"/>
    <n v="11.96"/>
    <n v="7.9600000000000009"/>
  </r>
  <r>
    <s v="2024-04-02"/>
    <x v="0"/>
    <x v="2"/>
    <x v="12"/>
    <n v="1"/>
    <n v="14.99"/>
    <n v="8"/>
    <n v="14.99"/>
    <n v="6.99"/>
  </r>
  <r>
    <s v="2024-03-06"/>
    <x v="1"/>
    <x v="0"/>
    <x v="18"/>
    <n v="4"/>
    <n v="15.99"/>
    <n v="9"/>
    <n v="63.96"/>
    <n v="27.96"/>
  </r>
  <r>
    <s v="2024-04-04"/>
    <x v="2"/>
    <x v="2"/>
    <x v="0"/>
    <n v="4"/>
    <n v="22.99"/>
    <n v="14"/>
    <n v="91.96"/>
    <n v="35.959999999999994"/>
  </r>
  <r>
    <s v="2024-04-13"/>
    <x v="3"/>
    <x v="3"/>
    <x v="5"/>
    <n v="1"/>
    <n v="9.99"/>
    <n v="4.5"/>
    <n v="9.99"/>
    <n v="5.49"/>
  </r>
  <r>
    <s v="2024-01-16"/>
    <x v="4"/>
    <x v="0"/>
    <x v="14"/>
    <n v="3"/>
    <n v="18"/>
    <n v="9"/>
    <n v="54"/>
    <n v="27"/>
  </r>
  <r>
    <s v="2024-02-20"/>
    <x v="5"/>
    <x v="3"/>
    <x v="3"/>
    <n v="5"/>
    <n v="11.99"/>
    <n v="5"/>
    <n v="59.95"/>
    <n v="34.950000000000003"/>
  </r>
  <r>
    <s v="2024-04-12"/>
    <x v="6"/>
    <x v="0"/>
    <x v="17"/>
    <n v="5"/>
    <n v="129.99"/>
    <n v="95"/>
    <n v="649.95000000000005"/>
    <n v="174.95000000000005"/>
  </r>
  <r>
    <s v="2024-04-05"/>
    <x v="7"/>
    <x v="2"/>
    <x v="1"/>
    <n v="3"/>
    <n v="45"/>
    <n v="28"/>
    <n v="135"/>
    <n v="51"/>
  </r>
  <r>
    <s v="2024-02-11"/>
    <x v="8"/>
    <x v="0"/>
    <x v="15"/>
    <n v="5"/>
    <n v="25"/>
    <n v="12"/>
    <n v="125"/>
    <n v="65"/>
  </r>
  <r>
    <s v="2024-03-25"/>
    <x v="9"/>
    <x v="1"/>
    <x v="18"/>
    <n v="4"/>
    <n v="15.99"/>
    <n v="9"/>
    <n v="63.96"/>
    <n v="27.96"/>
  </r>
  <r>
    <s v="2024-01-16"/>
    <x v="10"/>
    <x v="3"/>
    <x v="19"/>
    <n v="3"/>
    <n v="2.99"/>
    <n v="1"/>
    <n v="8.9700000000000006"/>
    <n v="5.9700000000000006"/>
  </r>
  <r>
    <s v="2024-01-06"/>
    <x v="11"/>
    <x v="0"/>
    <x v="7"/>
    <n v="4"/>
    <n v="20"/>
    <n v="12"/>
    <n v="80"/>
    <n v="32"/>
  </r>
  <r>
    <s v="2024-03-23"/>
    <x v="12"/>
    <x v="3"/>
    <x v="3"/>
    <n v="3"/>
    <n v="11.99"/>
    <n v="5"/>
    <n v="35.97"/>
    <n v="20.97"/>
  </r>
  <r>
    <s v="2024-03-30"/>
    <x v="13"/>
    <x v="1"/>
    <x v="6"/>
    <n v="3"/>
    <n v="120"/>
    <n v="80"/>
    <n v="360"/>
    <n v="120"/>
  </r>
  <r>
    <s v="2024-03-10"/>
    <x v="14"/>
    <x v="3"/>
    <x v="10"/>
    <n v="2"/>
    <n v="79.989999999999995"/>
    <n v="50"/>
    <n v="159.97999999999999"/>
    <n v="59.97999999999999"/>
  </r>
  <r>
    <s v="2024-02-02"/>
    <x v="15"/>
    <x v="2"/>
    <x v="10"/>
    <n v="5"/>
    <n v="79.989999999999995"/>
    <n v="50"/>
    <n v="399.95"/>
    <n v="149.94999999999999"/>
  </r>
  <r>
    <s v="2024-03-07"/>
    <x v="16"/>
    <x v="1"/>
    <x v="6"/>
    <n v="3"/>
    <n v="120"/>
    <n v="80"/>
    <n v="360"/>
    <n v="120"/>
  </r>
  <r>
    <s v="2024-04-06"/>
    <x v="17"/>
    <x v="0"/>
    <x v="13"/>
    <n v="1"/>
    <n v="39.99"/>
    <n v="22"/>
    <n v="39.99"/>
    <n v="17.990000000000002"/>
  </r>
  <r>
    <s v="2024-03-10"/>
    <x v="18"/>
    <x v="2"/>
    <x v="16"/>
    <n v="3"/>
    <n v="89.99"/>
    <n v="60"/>
    <n v="269.97000000000003"/>
    <n v="89.970000000000027"/>
  </r>
  <r>
    <s v="2024-02-25"/>
    <x v="19"/>
    <x v="1"/>
    <x v="13"/>
    <n v="2"/>
    <n v="39.99"/>
    <n v="22"/>
    <n v="79.98"/>
    <n v="35.980000000000004"/>
  </r>
  <r>
    <s v="2024-04-22"/>
    <x v="0"/>
    <x v="3"/>
    <x v="0"/>
    <n v="2"/>
    <n v="22.99"/>
    <n v="14"/>
    <n v="45.98"/>
    <n v="17.979999999999997"/>
  </r>
  <r>
    <s v="2024-02-17"/>
    <x v="1"/>
    <x v="1"/>
    <x v="6"/>
    <n v="1"/>
    <n v="120"/>
    <n v="80"/>
    <n v="120"/>
    <n v="40"/>
  </r>
  <r>
    <s v="2024-01-04"/>
    <x v="2"/>
    <x v="2"/>
    <x v="12"/>
    <n v="4"/>
    <n v="14.99"/>
    <n v="8"/>
    <n v="59.96"/>
    <n v="27.96"/>
  </r>
  <r>
    <s v="2024-03-06"/>
    <x v="3"/>
    <x v="0"/>
    <x v="11"/>
    <n v="3"/>
    <n v="34.99"/>
    <n v="18"/>
    <n v="104.97"/>
    <n v="50.97"/>
  </r>
  <r>
    <s v="2024-03-12"/>
    <x v="4"/>
    <x v="3"/>
    <x v="2"/>
    <n v="3"/>
    <n v="12.5"/>
    <n v="6.2"/>
    <n v="37.5"/>
    <n v="18.899999999999999"/>
  </r>
  <r>
    <s v="2024-04-23"/>
    <x v="5"/>
    <x v="2"/>
    <x v="7"/>
    <n v="1"/>
    <n v="20"/>
    <n v="12"/>
    <n v="20"/>
    <n v="8"/>
  </r>
  <r>
    <s v="2024-01-06"/>
    <x v="6"/>
    <x v="0"/>
    <x v="16"/>
    <n v="4"/>
    <n v="89.99"/>
    <n v="60"/>
    <n v="359.96"/>
    <n v="119.95999999999998"/>
  </r>
  <r>
    <s v="2024-03-07"/>
    <x v="7"/>
    <x v="2"/>
    <x v="15"/>
    <n v="1"/>
    <n v="25"/>
    <n v="12"/>
    <n v="25"/>
    <n v="13"/>
  </r>
  <r>
    <s v="2024-03-19"/>
    <x v="8"/>
    <x v="3"/>
    <x v="1"/>
    <n v="5"/>
    <n v="45"/>
    <n v="28"/>
    <n v="225"/>
    <n v="85"/>
  </r>
  <r>
    <s v="2024-04-02"/>
    <x v="9"/>
    <x v="0"/>
    <x v="3"/>
    <n v="2"/>
    <n v="11.99"/>
    <n v="5"/>
    <n v="23.98"/>
    <n v="13.98"/>
  </r>
  <r>
    <s v="2024-01-22"/>
    <x v="10"/>
    <x v="0"/>
    <x v="18"/>
    <n v="4"/>
    <n v="15.99"/>
    <n v="9"/>
    <n v="63.96"/>
    <n v="27.96"/>
  </r>
  <r>
    <s v="2024-04-29"/>
    <x v="11"/>
    <x v="3"/>
    <x v="1"/>
    <n v="5"/>
    <n v="45"/>
    <n v="28"/>
    <n v="225"/>
    <n v="85"/>
  </r>
  <r>
    <s v="2024-03-09"/>
    <x v="12"/>
    <x v="2"/>
    <x v="5"/>
    <n v="1"/>
    <n v="9.99"/>
    <n v="4.5"/>
    <n v="9.99"/>
    <n v="5.49"/>
  </r>
  <r>
    <s v="2024-04-26"/>
    <x v="13"/>
    <x v="2"/>
    <x v="16"/>
    <n v="2"/>
    <n v="89.99"/>
    <n v="60"/>
    <n v="179.98"/>
    <n v="59.97999999999999"/>
  </r>
  <r>
    <s v="2024-04-19"/>
    <x v="14"/>
    <x v="3"/>
    <x v="3"/>
    <n v="3"/>
    <n v="11.99"/>
    <n v="5"/>
    <n v="35.97"/>
    <n v="20.97"/>
  </r>
  <r>
    <s v="2024-01-07"/>
    <x v="15"/>
    <x v="0"/>
    <x v="14"/>
    <n v="5"/>
    <n v="18"/>
    <n v="9"/>
    <n v="90"/>
    <n v="45"/>
  </r>
  <r>
    <s v="2024-02-24"/>
    <x v="16"/>
    <x v="1"/>
    <x v="19"/>
    <n v="3"/>
    <n v="2.99"/>
    <n v="1"/>
    <n v="8.9700000000000006"/>
    <n v="5.9700000000000006"/>
  </r>
  <r>
    <s v="2024-04-16"/>
    <x v="17"/>
    <x v="0"/>
    <x v="12"/>
    <n v="1"/>
    <n v="14.99"/>
    <n v="8"/>
    <n v="14.99"/>
    <n v="6.99"/>
  </r>
  <r>
    <s v="2024-01-14"/>
    <x v="18"/>
    <x v="0"/>
    <x v="7"/>
    <n v="4"/>
    <n v="20"/>
    <n v="12"/>
    <n v="80"/>
    <n v="32"/>
  </r>
  <r>
    <s v="2024-02-09"/>
    <x v="19"/>
    <x v="1"/>
    <x v="14"/>
    <n v="3"/>
    <n v="18"/>
    <n v="9"/>
    <n v="54"/>
    <n v="27"/>
  </r>
  <r>
    <s v="2024-04-19"/>
    <x v="0"/>
    <x v="1"/>
    <x v="16"/>
    <n v="4"/>
    <n v="89.99"/>
    <n v="60"/>
    <n v="359.96"/>
    <n v="119.95999999999998"/>
  </r>
  <r>
    <s v="2024-02-29"/>
    <x v="1"/>
    <x v="2"/>
    <x v="10"/>
    <n v="3"/>
    <n v="79.989999999999995"/>
    <n v="50"/>
    <n v="239.97"/>
    <n v="89.97"/>
  </r>
  <r>
    <s v="2024-04-06"/>
    <x v="2"/>
    <x v="2"/>
    <x v="8"/>
    <n v="3"/>
    <n v="145"/>
    <n v="100"/>
    <n v="435"/>
    <n v="135"/>
  </r>
  <r>
    <s v="2024-01-08"/>
    <x v="3"/>
    <x v="0"/>
    <x v="16"/>
    <n v="2"/>
    <n v="89.99"/>
    <n v="60"/>
    <n v="179.98"/>
    <n v="59.97999999999999"/>
  </r>
  <r>
    <s v="2024-04-27"/>
    <x v="4"/>
    <x v="1"/>
    <x v="8"/>
    <n v="3"/>
    <n v="145"/>
    <n v="100"/>
    <n v="435"/>
    <n v="135"/>
  </r>
  <r>
    <s v="2024-04-14"/>
    <x v="5"/>
    <x v="0"/>
    <x v="1"/>
    <n v="4"/>
    <n v="45"/>
    <n v="28"/>
    <n v="180"/>
    <n v="68"/>
  </r>
  <r>
    <s v="2024-02-14"/>
    <x v="6"/>
    <x v="2"/>
    <x v="15"/>
    <n v="3"/>
    <n v="25"/>
    <n v="12"/>
    <n v="75"/>
    <n v="39"/>
  </r>
  <r>
    <s v="2024-03-18"/>
    <x v="7"/>
    <x v="3"/>
    <x v="4"/>
    <n v="3"/>
    <n v="59.99"/>
    <n v="35"/>
    <n v="179.97"/>
    <n v="74.97"/>
  </r>
  <r>
    <s v="2024-02-10"/>
    <x v="8"/>
    <x v="0"/>
    <x v="5"/>
    <n v="3"/>
    <n v="9.99"/>
    <n v="4.5"/>
    <n v="29.97"/>
    <n v="16.47"/>
  </r>
  <r>
    <s v="2024-03-23"/>
    <x v="9"/>
    <x v="1"/>
    <x v="4"/>
    <n v="4"/>
    <n v="59.99"/>
    <n v="35"/>
    <n v="239.96"/>
    <n v="99.960000000000008"/>
  </r>
  <r>
    <s v="2024-01-16"/>
    <x v="10"/>
    <x v="0"/>
    <x v="18"/>
    <n v="4"/>
    <n v="15.99"/>
    <n v="9"/>
    <n v="63.96"/>
    <n v="27.96"/>
  </r>
  <r>
    <s v="2024-01-22"/>
    <x v="11"/>
    <x v="3"/>
    <x v="15"/>
    <n v="5"/>
    <n v="25"/>
    <n v="12"/>
    <n v="125"/>
    <n v="65"/>
  </r>
  <r>
    <s v="2024-01-15"/>
    <x v="12"/>
    <x v="3"/>
    <x v="5"/>
    <n v="5"/>
    <n v="9.99"/>
    <n v="4.5"/>
    <n v="49.95"/>
    <n v="27.450000000000003"/>
  </r>
  <r>
    <s v="2024-01-09"/>
    <x v="13"/>
    <x v="1"/>
    <x v="18"/>
    <n v="5"/>
    <n v="15.99"/>
    <n v="9"/>
    <n v="79.95"/>
    <n v="34.950000000000003"/>
  </r>
  <r>
    <s v="2024-02-12"/>
    <x v="14"/>
    <x v="0"/>
    <x v="17"/>
    <n v="3"/>
    <n v="129.99"/>
    <n v="95"/>
    <n v="389.97"/>
    <n v="104.97000000000003"/>
  </r>
  <r>
    <s v="2024-03-18"/>
    <x v="15"/>
    <x v="1"/>
    <x v="15"/>
    <n v="1"/>
    <n v="25"/>
    <n v="12"/>
    <n v="25"/>
    <n v="13"/>
  </r>
  <r>
    <s v="2024-03-15"/>
    <x v="16"/>
    <x v="3"/>
    <x v="15"/>
    <n v="5"/>
    <n v="25"/>
    <n v="12"/>
    <n v="125"/>
    <n v="65"/>
  </r>
  <r>
    <s v="2024-03-20"/>
    <x v="17"/>
    <x v="3"/>
    <x v="19"/>
    <n v="2"/>
    <n v="2.99"/>
    <n v="1"/>
    <n v="5.98"/>
    <n v="3.9800000000000004"/>
  </r>
  <r>
    <s v="2024-02-25"/>
    <x v="18"/>
    <x v="1"/>
    <x v="13"/>
    <n v="3"/>
    <n v="39.99"/>
    <n v="22"/>
    <n v="119.97"/>
    <n v="53.97"/>
  </r>
  <r>
    <s v="2024-04-06"/>
    <x v="19"/>
    <x v="2"/>
    <x v="4"/>
    <n v="2"/>
    <n v="59.99"/>
    <n v="35"/>
    <n v="119.98"/>
    <n v="49.980000000000004"/>
  </r>
  <r>
    <s v="2024-03-17"/>
    <x v="0"/>
    <x v="2"/>
    <x v="16"/>
    <n v="1"/>
    <n v="89.99"/>
    <n v="60"/>
    <n v="89.99"/>
    <n v="29.989999999999995"/>
  </r>
  <r>
    <s v="2024-02-09"/>
    <x v="1"/>
    <x v="3"/>
    <x v="6"/>
    <n v="2"/>
    <n v="120"/>
    <n v="80"/>
    <n v="240"/>
    <n v="80"/>
  </r>
  <r>
    <s v="2024-04-26"/>
    <x v="2"/>
    <x v="1"/>
    <x v="8"/>
    <n v="4"/>
    <n v="145"/>
    <n v="100"/>
    <n v="580"/>
    <n v="180"/>
  </r>
  <r>
    <s v="2024-02-13"/>
    <x v="3"/>
    <x v="3"/>
    <x v="6"/>
    <n v="5"/>
    <n v="120"/>
    <n v="80"/>
    <n v="600"/>
    <n v="200"/>
  </r>
  <r>
    <s v="2024-02-17"/>
    <x v="4"/>
    <x v="2"/>
    <x v="0"/>
    <n v="1"/>
    <n v="22.99"/>
    <n v="14"/>
    <n v="22.99"/>
    <n v="8.9899999999999984"/>
  </r>
  <r>
    <s v="2024-01-15"/>
    <x v="5"/>
    <x v="2"/>
    <x v="19"/>
    <n v="2"/>
    <n v="2.99"/>
    <n v="1"/>
    <n v="5.98"/>
    <n v="3.9800000000000004"/>
  </r>
  <r>
    <s v="2024-01-06"/>
    <x v="6"/>
    <x v="3"/>
    <x v="9"/>
    <n v="5"/>
    <n v="3.5"/>
    <n v="1.2"/>
    <n v="17.5"/>
    <n v="11.5"/>
  </r>
  <r>
    <s v="2024-01-31"/>
    <x v="7"/>
    <x v="1"/>
    <x v="17"/>
    <n v="3"/>
    <n v="129.99"/>
    <n v="95"/>
    <n v="389.97"/>
    <n v="104.97000000000003"/>
  </r>
  <r>
    <s v="2024-03-15"/>
    <x v="8"/>
    <x v="0"/>
    <x v="19"/>
    <n v="4"/>
    <n v="2.99"/>
    <n v="1"/>
    <n v="11.96"/>
    <n v="7.9600000000000009"/>
  </r>
  <r>
    <s v="2024-04-25"/>
    <x v="9"/>
    <x v="3"/>
    <x v="17"/>
    <n v="4"/>
    <n v="129.99"/>
    <n v="95"/>
    <n v="519.96"/>
    <n v="139.96000000000004"/>
  </r>
  <r>
    <s v="2024-03-28"/>
    <x v="10"/>
    <x v="1"/>
    <x v="10"/>
    <n v="2"/>
    <n v="79.989999999999995"/>
    <n v="50"/>
    <n v="159.97999999999999"/>
    <n v="59.97999999999999"/>
  </r>
  <r>
    <s v="2024-02-29"/>
    <x v="11"/>
    <x v="1"/>
    <x v="9"/>
    <n v="4"/>
    <n v="3.5"/>
    <n v="1.2"/>
    <n v="14"/>
    <n v="9.1999999999999993"/>
  </r>
  <r>
    <s v="2024-01-29"/>
    <x v="12"/>
    <x v="0"/>
    <x v="2"/>
    <n v="4"/>
    <n v="12.5"/>
    <n v="6.2"/>
    <n v="50"/>
    <n v="25.2"/>
  </r>
  <r>
    <s v="2024-01-20"/>
    <x v="13"/>
    <x v="0"/>
    <x v="3"/>
    <n v="1"/>
    <n v="11.99"/>
    <n v="5"/>
    <n v="11.99"/>
    <n v="6.99"/>
  </r>
  <r>
    <s v="2024-03-14"/>
    <x v="14"/>
    <x v="2"/>
    <x v="12"/>
    <n v="5"/>
    <n v="14.99"/>
    <n v="8"/>
    <n v="74.95"/>
    <n v="34.950000000000003"/>
  </r>
  <r>
    <s v="2024-04-02"/>
    <x v="15"/>
    <x v="0"/>
    <x v="19"/>
    <n v="5"/>
    <n v="2.99"/>
    <n v="1"/>
    <n v="14.95"/>
    <n v="9.9499999999999993"/>
  </r>
  <r>
    <s v="2024-02-08"/>
    <x v="16"/>
    <x v="0"/>
    <x v="17"/>
    <n v="3"/>
    <n v="129.99"/>
    <n v="95"/>
    <n v="389.97"/>
    <n v="104.97000000000003"/>
  </r>
  <r>
    <s v="2024-01-07"/>
    <x v="17"/>
    <x v="0"/>
    <x v="3"/>
    <n v="4"/>
    <n v="11.99"/>
    <n v="5"/>
    <n v="47.96"/>
    <n v="27.96"/>
  </r>
  <r>
    <s v="2024-02-09"/>
    <x v="18"/>
    <x v="2"/>
    <x v="6"/>
    <n v="1"/>
    <n v="120"/>
    <n v="80"/>
    <n v="120"/>
    <n v="40"/>
  </r>
  <r>
    <s v="2024-03-31"/>
    <x v="19"/>
    <x v="1"/>
    <x v="3"/>
    <n v="4"/>
    <n v="11.99"/>
    <n v="5"/>
    <n v="47.96"/>
    <n v="27.96"/>
  </r>
  <r>
    <s v="2024-03-06"/>
    <x v="0"/>
    <x v="3"/>
    <x v="9"/>
    <n v="3"/>
    <n v="3.5"/>
    <n v="1.2"/>
    <n v="10.5"/>
    <n v="6.9"/>
  </r>
  <r>
    <s v="2024-03-27"/>
    <x v="1"/>
    <x v="1"/>
    <x v="14"/>
    <n v="5"/>
    <n v="18"/>
    <n v="9"/>
    <n v="90"/>
    <n v="45"/>
  </r>
  <r>
    <s v="2024-04-12"/>
    <x v="2"/>
    <x v="3"/>
    <x v="13"/>
    <n v="2"/>
    <n v="39.99"/>
    <n v="22"/>
    <n v="79.98"/>
    <n v="35.980000000000004"/>
  </r>
  <r>
    <s v="2024-01-19"/>
    <x v="3"/>
    <x v="0"/>
    <x v="5"/>
    <n v="5"/>
    <n v="9.99"/>
    <n v="4.5"/>
    <n v="49.95"/>
    <n v="27.450000000000003"/>
  </r>
  <r>
    <s v="2024-01-05"/>
    <x v="4"/>
    <x v="3"/>
    <x v="12"/>
    <n v="1"/>
    <n v="14.99"/>
    <n v="8"/>
    <n v="14.99"/>
    <n v="6.99"/>
  </r>
  <r>
    <s v="2024-04-18"/>
    <x v="5"/>
    <x v="3"/>
    <x v="1"/>
    <n v="3"/>
    <n v="45"/>
    <n v="28"/>
    <n v="135"/>
    <n v="51"/>
  </r>
  <r>
    <s v="2024-02-11"/>
    <x v="6"/>
    <x v="2"/>
    <x v="12"/>
    <n v="2"/>
    <n v="14.99"/>
    <n v="8"/>
    <n v="29.98"/>
    <n v="13.98"/>
  </r>
  <r>
    <s v="2024-02-08"/>
    <x v="7"/>
    <x v="1"/>
    <x v="19"/>
    <n v="2"/>
    <n v="2.99"/>
    <n v="1"/>
    <n v="5.98"/>
    <n v="3.9800000000000004"/>
  </r>
  <r>
    <s v="2024-01-12"/>
    <x v="8"/>
    <x v="3"/>
    <x v="14"/>
    <n v="3"/>
    <n v="18"/>
    <n v="9"/>
    <n v="54"/>
    <n v="27"/>
  </r>
  <r>
    <s v="2024-02-07"/>
    <x v="9"/>
    <x v="0"/>
    <x v="14"/>
    <n v="1"/>
    <n v="18"/>
    <n v="9"/>
    <n v="18"/>
    <n v="9"/>
  </r>
  <r>
    <s v="2024-03-15"/>
    <x v="10"/>
    <x v="0"/>
    <x v="8"/>
    <n v="5"/>
    <n v="145"/>
    <n v="100"/>
    <n v="725"/>
    <n v="225"/>
  </r>
  <r>
    <s v="2024-04-09"/>
    <x v="11"/>
    <x v="1"/>
    <x v="8"/>
    <n v="5"/>
    <n v="145"/>
    <n v="100"/>
    <n v="725"/>
    <n v="225"/>
  </r>
  <r>
    <s v="2024-01-15"/>
    <x v="12"/>
    <x v="1"/>
    <x v="6"/>
    <n v="2"/>
    <n v="120"/>
    <n v="80"/>
    <n v="240"/>
    <n v="80"/>
  </r>
  <r>
    <s v="2024-01-30"/>
    <x v="13"/>
    <x v="1"/>
    <x v="2"/>
    <n v="2"/>
    <n v="12.5"/>
    <n v="6.2"/>
    <n v="25"/>
    <n v="12.6"/>
  </r>
  <r>
    <s v="2024-01-07"/>
    <x v="14"/>
    <x v="0"/>
    <x v="15"/>
    <n v="4"/>
    <n v="25"/>
    <n v="12"/>
    <n v="100"/>
    <n v="52"/>
  </r>
  <r>
    <s v="2024-01-20"/>
    <x v="15"/>
    <x v="3"/>
    <x v="18"/>
    <n v="4"/>
    <n v="15.99"/>
    <n v="9"/>
    <n v="63.96"/>
    <n v="27.96"/>
  </r>
  <r>
    <s v="2024-04-02"/>
    <x v="16"/>
    <x v="1"/>
    <x v="14"/>
    <n v="2"/>
    <n v="18"/>
    <n v="9"/>
    <n v="36"/>
    <n v="18"/>
  </r>
  <r>
    <s v="2024-04-01"/>
    <x v="17"/>
    <x v="1"/>
    <x v="6"/>
    <n v="1"/>
    <n v="120"/>
    <n v="80"/>
    <n v="120"/>
    <n v="40"/>
  </r>
  <r>
    <s v="2024-02-16"/>
    <x v="18"/>
    <x v="2"/>
    <x v="1"/>
    <n v="5"/>
    <n v="45"/>
    <n v="28"/>
    <n v="225"/>
    <n v="85"/>
  </r>
  <r>
    <s v="2024-01-25"/>
    <x v="19"/>
    <x v="1"/>
    <x v="3"/>
    <n v="3"/>
    <n v="11.99"/>
    <n v="5"/>
    <n v="35.97"/>
    <n v="20.97"/>
  </r>
  <r>
    <s v="2024-03-06"/>
    <x v="0"/>
    <x v="1"/>
    <x v="10"/>
    <n v="4"/>
    <n v="79.989999999999995"/>
    <n v="50"/>
    <n v="319.95999999999998"/>
    <n v="119.95999999999998"/>
  </r>
  <r>
    <s v="2024-01-06"/>
    <x v="1"/>
    <x v="3"/>
    <x v="1"/>
    <n v="4"/>
    <n v="45"/>
    <n v="28"/>
    <n v="180"/>
    <n v="68"/>
  </r>
  <r>
    <s v="2024-02-27"/>
    <x v="2"/>
    <x v="3"/>
    <x v="1"/>
    <n v="5"/>
    <n v="45"/>
    <n v="28"/>
    <n v="225"/>
    <n v="85"/>
  </r>
  <r>
    <s v="2024-02-10"/>
    <x v="3"/>
    <x v="1"/>
    <x v="5"/>
    <n v="1"/>
    <n v="9.99"/>
    <n v="4.5"/>
    <n v="9.99"/>
    <n v="5.49"/>
  </r>
  <r>
    <s v="2024-04-25"/>
    <x v="4"/>
    <x v="2"/>
    <x v="12"/>
    <n v="1"/>
    <n v="14.99"/>
    <n v="8"/>
    <n v="14.99"/>
    <n v="6.99"/>
  </r>
  <r>
    <s v="2024-04-30"/>
    <x v="5"/>
    <x v="2"/>
    <x v="1"/>
    <n v="1"/>
    <n v="45"/>
    <n v="28"/>
    <n v="45"/>
    <n v="17"/>
  </r>
  <r>
    <s v="2024-01-16"/>
    <x v="6"/>
    <x v="0"/>
    <x v="18"/>
    <n v="5"/>
    <n v="15.99"/>
    <n v="9"/>
    <n v="79.95"/>
    <n v="34.950000000000003"/>
  </r>
  <r>
    <s v="2024-02-12"/>
    <x v="7"/>
    <x v="2"/>
    <x v="7"/>
    <n v="1"/>
    <n v="20"/>
    <n v="12"/>
    <n v="20"/>
    <n v="8"/>
  </r>
  <r>
    <s v="2024-01-19"/>
    <x v="8"/>
    <x v="3"/>
    <x v="6"/>
    <n v="4"/>
    <n v="120"/>
    <n v="80"/>
    <n v="480"/>
    <n v="160"/>
  </r>
  <r>
    <s v="2024-03-17"/>
    <x v="9"/>
    <x v="2"/>
    <x v="11"/>
    <n v="4"/>
    <n v="34.99"/>
    <n v="18"/>
    <n v="139.96"/>
    <n v="67.960000000000008"/>
  </r>
  <r>
    <s v="2024-04-12"/>
    <x v="10"/>
    <x v="0"/>
    <x v="4"/>
    <n v="3"/>
    <n v="59.99"/>
    <n v="35"/>
    <n v="179.97"/>
    <n v="74.97"/>
  </r>
  <r>
    <s v="2024-04-25"/>
    <x v="11"/>
    <x v="0"/>
    <x v="12"/>
    <n v="5"/>
    <n v="14.99"/>
    <n v="8"/>
    <n v="74.95"/>
    <n v="34.950000000000003"/>
  </r>
  <r>
    <s v="2024-04-21"/>
    <x v="12"/>
    <x v="3"/>
    <x v="15"/>
    <n v="5"/>
    <n v="25"/>
    <n v="12"/>
    <n v="125"/>
    <n v="65"/>
  </r>
  <r>
    <s v="2024-03-20"/>
    <x v="13"/>
    <x v="2"/>
    <x v="12"/>
    <n v="2"/>
    <n v="14.99"/>
    <n v="8"/>
    <n v="29.98"/>
    <n v="13.98"/>
  </r>
  <r>
    <s v="2024-02-27"/>
    <x v="14"/>
    <x v="1"/>
    <x v="9"/>
    <n v="5"/>
    <n v="3.5"/>
    <n v="1.2"/>
    <n v="17.5"/>
    <n v="11.5"/>
  </r>
  <r>
    <s v="2024-04-04"/>
    <x v="15"/>
    <x v="2"/>
    <x v="14"/>
    <n v="5"/>
    <n v="18"/>
    <n v="9"/>
    <n v="90"/>
    <n v="45"/>
  </r>
  <r>
    <s v="2024-02-22"/>
    <x v="16"/>
    <x v="3"/>
    <x v="5"/>
    <n v="3"/>
    <n v="9.99"/>
    <n v="4.5"/>
    <n v="29.97"/>
    <n v="16.47"/>
  </r>
  <r>
    <s v="2024-04-04"/>
    <x v="17"/>
    <x v="1"/>
    <x v="5"/>
    <n v="2"/>
    <n v="9.99"/>
    <n v="4.5"/>
    <n v="19.98"/>
    <n v="10.98"/>
  </r>
  <r>
    <s v="2024-04-23"/>
    <x v="18"/>
    <x v="3"/>
    <x v="19"/>
    <n v="4"/>
    <n v="2.99"/>
    <n v="1"/>
    <n v="11.96"/>
    <n v="7.9600000000000009"/>
  </r>
  <r>
    <s v="2024-02-23"/>
    <x v="19"/>
    <x v="2"/>
    <x v="8"/>
    <n v="1"/>
    <n v="145"/>
    <n v="100"/>
    <n v="145"/>
    <n v="45"/>
  </r>
  <r>
    <s v="2024-03-21"/>
    <x v="0"/>
    <x v="2"/>
    <x v="5"/>
    <n v="2"/>
    <n v="9.99"/>
    <n v="4.5"/>
    <n v="19.98"/>
    <n v="10.98"/>
  </r>
  <r>
    <s v="2024-04-15"/>
    <x v="1"/>
    <x v="2"/>
    <x v="2"/>
    <n v="5"/>
    <n v="12.5"/>
    <n v="6.2"/>
    <n v="62.5"/>
    <n v="31.5"/>
  </r>
  <r>
    <s v="2024-03-20"/>
    <x v="2"/>
    <x v="2"/>
    <x v="17"/>
    <n v="3"/>
    <n v="129.99"/>
    <n v="95"/>
    <n v="389.97"/>
    <n v="104.97000000000003"/>
  </r>
  <r>
    <s v="2024-03-11"/>
    <x v="3"/>
    <x v="3"/>
    <x v="19"/>
    <n v="5"/>
    <n v="2.99"/>
    <n v="1"/>
    <n v="14.95"/>
    <n v="9.9499999999999993"/>
  </r>
  <r>
    <s v="2024-04-25"/>
    <x v="4"/>
    <x v="1"/>
    <x v="16"/>
    <n v="5"/>
    <n v="89.99"/>
    <n v="60"/>
    <n v="449.95"/>
    <n v="149.94999999999999"/>
  </r>
  <r>
    <s v="2024-03-11"/>
    <x v="5"/>
    <x v="1"/>
    <x v="0"/>
    <n v="5"/>
    <n v="22.99"/>
    <n v="14"/>
    <n v="114.95"/>
    <n v="44.95"/>
  </r>
  <r>
    <s v="2024-04-13"/>
    <x v="6"/>
    <x v="0"/>
    <x v="14"/>
    <n v="4"/>
    <n v="18"/>
    <n v="9"/>
    <n v="72"/>
    <n v="36"/>
  </r>
  <r>
    <s v="2024-01-09"/>
    <x v="7"/>
    <x v="2"/>
    <x v="3"/>
    <n v="3"/>
    <n v="11.99"/>
    <n v="5"/>
    <n v="35.97"/>
    <n v="20.97"/>
  </r>
  <r>
    <s v="2024-03-12"/>
    <x v="8"/>
    <x v="1"/>
    <x v="17"/>
    <n v="1"/>
    <n v="129.99"/>
    <n v="95"/>
    <n v="129.99"/>
    <n v="34.990000000000009"/>
  </r>
  <r>
    <s v="2024-01-01"/>
    <x v="9"/>
    <x v="1"/>
    <x v="15"/>
    <n v="3"/>
    <n v="25"/>
    <n v="12"/>
    <n v="75"/>
    <n v="39"/>
  </r>
  <r>
    <s v="2024-01-05"/>
    <x v="10"/>
    <x v="1"/>
    <x v="0"/>
    <n v="4"/>
    <n v="22.99"/>
    <n v="14"/>
    <n v="91.96"/>
    <n v="35.959999999999994"/>
  </r>
  <r>
    <s v="2024-01-06"/>
    <x v="11"/>
    <x v="1"/>
    <x v="14"/>
    <n v="2"/>
    <n v="18"/>
    <n v="9"/>
    <n v="36"/>
    <n v="18"/>
  </r>
  <r>
    <s v="2024-02-01"/>
    <x v="12"/>
    <x v="2"/>
    <x v="2"/>
    <n v="2"/>
    <n v="12.5"/>
    <n v="6.2"/>
    <n v="25"/>
    <n v="12.6"/>
  </r>
  <r>
    <s v="2024-01-27"/>
    <x v="13"/>
    <x v="3"/>
    <x v="7"/>
    <n v="2"/>
    <n v="20"/>
    <n v="12"/>
    <n v="40"/>
    <n v="16"/>
  </r>
  <r>
    <s v="2024-03-25"/>
    <x v="14"/>
    <x v="2"/>
    <x v="3"/>
    <n v="2"/>
    <n v="11.99"/>
    <n v="5"/>
    <n v="23.98"/>
    <n v="13.98"/>
  </r>
  <r>
    <s v="2024-01-17"/>
    <x v="15"/>
    <x v="1"/>
    <x v="6"/>
    <n v="2"/>
    <n v="120"/>
    <n v="80"/>
    <n v="240"/>
    <n v="80"/>
  </r>
  <r>
    <s v="2024-03-15"/>
    <x v="16"/>
    <x v="2"/>
    <x v="2"/>
    <n v="1"/>
    <n v="12.5"/>
    <n v="6.2"/>
    <n v="12.5"/>
    <n v="6.3"/>
  </r>
  <r>
    <s v="2024-01-20"/>
    <x v="17"/>
    <x v="1"/>
    <x v="18"/>
    <n v="5"/>
    <n v="15.99"/>
    <n v="9"/>
    <n v="79.95"/>
    <n v="34.950000000000003"/>
  </r>
  <r>
    <s v="2024-04-20"/>
    <x v="18"/>
    <x v="0"/>
    <x v="12"/>
    <n v="5"/>
    <n v="14.99"/>
    <n v="8"/>
    <n v="74.95"/>
    <n v="34.950000000000003"/>
  </r>
  <r>
    <s v="2024-01-16"/>
    <x v="19"/>
    <x v="3"/>
    <x v="1"/>
    <n v="3"/>
    <n v="45"/>
    <n v="28"/>
    <n v="135"/>
    <n v="51"/>
  </r>
  <r>
    <s v="2024-01-17"/>
    <x v="0"/>
    <x v="3"/>
    <x v="18"/>
    <n v="3"/>
    <n v="15.99"/>
    <n v="9"/>
    <n v="47.97"/>
    <n v="20.97"/>
  </r>
  <r>
    <s v="2024-04-19"/>
    <x v="1"/>
    <x v="0"/>
    <x v="12"/>
    <n v="3"/>
    <n v="14.99"/>
    <n v="8"/>
    <n v="44.97"/>
    <n v="20.97"/>
  </r>
  <r>
    <s v="2024-02-25"/>
    <x v="2"/>
    <x v="2"/>
    <x v="3"/>
    <n v="1"/>
    <n v="11.99"/>
    <n v="5"/>
    <n v="11.99"/>
    <n v="6.99"/>
  </r>
  <r>
    <s v="2024-03-02"/>
    <x v="3"/>
    <x v="1"/>
    <x v="18"/>
    <n v="1"/>
    <n v="15.99"/>
    <n v="9"/>
    <n v="15.99"/>
    <n v="6.99"/>
  </r>
  <r>
    <s v="2024-03-17"/>
    <x v="4"/>
    <x v="0"/>
    <x v="11"/>
    <n v="2"/>
    <n v="34.99"/>
    <n v="18"/>
    <n v="69.98"/>
    <n v="33.980000000000004"/>
  </r>
  <r>
    <s v="2024-03-21"/>
    <x v="5"/>
    <x v="0"/>
    <x v="17"/>
    <n v="1"/>
    <n v="129.99"/>
    <n v="95"/>
    <n v="129.99"/>
    <n v="34.990000000000009"/>
  </r>
  <r>
    <s v="2024-01-15"/>
    <x v="6"/>
    <x v="1"/>
    <x v="0"/>
    <n v="3"/>
    <n v="22.99"/>
    <n v="14"/>
    <n v="68.97"/>
    <n v="26.97"/>
  </r>
  <r>
    <s v="2024-03-27"/>
    <x v="7"/>
    <x v="2"/>
    <x v="5"/>
    <n v="5"/>
    <n v="9.99"/>
    <n v="4.5"/>
    <n v="49.95"/>
    <n v="27.450000000000003"/>
  </r>
  <r>
    <s v="2024-03-10"/>
    <x v="8"/>
    <x v="1"/>
    <x v="4"/>
    <n v="5"/>
    <n v="59.99"/>
    <n v="35"/>
    <n v="299.95"/>
    <n v="124.94999999999999"/>
  </r>
  <r>
    <s v="2024-01-31"/>
    <x v="9"/>
    <x v="0"/>
    <x v="18"/>
    <n v="4"/>
    <n v="15.99"/>
    <n v="9"/>
    <n v="63.96"/>
    <n v="27.96"/>
  </r>
  <r>
    <s v="2024-01-18"/>
    <x v="10"/>
    <x v="2"/>
    <x v="0"/>
    <n v="2"/>
    <n v="22.99"/>
    <n v="14"/>
    <n v="45.98"/>
    <n v="17.979999999999997"/>
  </r>
  <r>
    <s v="2024-01-06"/>
    <x v="11"/>
    <x v="0"/>
    <x v="8"/>
    <n v="2"/>
    <n v="145"/>
    <n v="100"/>
    <n v="290"/>
    <n v="90"/>
  </r>
  <r>
    <s v="2024-01-29"/>
    <x v="12"/>
    <x v="0"/>
    <x v="9"/>
    <n v="4"/>
    <n v="3.5"/>
    <n v="1.2"/>
    <n v="14"/>
    <n v="9.1999999999999993"/>
  </r>
  <r>
    <s v="2024-04-24"/>
    <x v="13"/>
    <x v="0"/>
    <x v="0"/>
    <n v="4"/>
    <n v="22.99"/>
    <n v="14"/>
    <n v="91.96"/>
    <n v="35.959999999999994"/>
  </r>
  <r>
    <s v="2024-02-21"/>
    <x v="14"/>
    <x v="3"/>
    <x v="10"/>
    <n v="2"/>
    <n v="79.989999999999995"/>
    <n v="50"/>
    <n v="159.97999999999999"/>
    <n v="59.97999999999999"/>
  </r>
  <r>
    <s v="2024-01-31"/>
    <x v="15"/>
    <x v="1"/>
    <x v="10"/>
    <n v="5"/>
    <n v="79.989999999999995"/>
    <n v="50"/>
    <n v="399.95"/>
    <n v="149.94999999999999"/>
  </r>
  <r>
    <s v="2024-04-05"/>
    <x v="16"/>
    <x v="1"/>
    <x v="12"/>
    <n v="1"/>
    <n v="14.99"/>
    <n v="8"/>
    <n v="14.99"/>
    <n v="6.99"/>
  </r>
  <r>
    <s v="2024-03-30"/>
    <x v="17"/>
    <x v="1"/>
    <x v="7"/>
    <n v="2"/>
    <n v="20"/>
    <n v="12"/>
    <n v="40"/>
    <n v="16"/>
  </r>
  <r>
    <s v="2024-04-09"/>
    <x v="18"/>
    <x v="1"/>
    <x v="16"/>
    <n v="1"/>
    <n v="89.99"/>
    <n v="60"/>
    <n v="89.99"/>
    <n v="29.989999999999995"/>
  </r>
  <r>
    <s v="2024-01-02"/>
    <x v="19"/>
    <x v="1"/>
    <x v="19"/>
    <n v="4"/>
    <n v="2.99"/>
    <n v="1"/>
    <n v="11.96"/>
    <n v="7.9600000000000009"/>
  </r>
  <r>
    <s v="2024-02-28"/>
    <x v="0"/>
    <x v="0"/>
    <x v="17"/>
    <n v="5"/>
    <n v="129.99"/>
    <n v="95"/>
    <n v="649.95000000000005"/>
    <n v="174.95000000000005"/>
  </r>
  <r>
    <s v="2024-02-17"/>
    <x v="1"/>
    <x v="2"/>
    <x v="4"/>
    <n v="3"/>
    <n v="59.99"/>
    <n v="35"/>
    <n v="179.97"/>
    <n v="74.97"/>
  </r>
  <r>
    <s v="2024-01-26"/>
    <x v="2"/>
    <x v="1"/>
    <x v="9"/>
    <n v="4"/>
    <n v="3.5"/>
    <n v="1.2"/>
    <n v="14"/>
    <n v="9.1999999999999993"/>
  </r>
  <r>
    <s v="2024-03-10"/>
    <x v="3"/>
    <x v="2"/>
    <x v="19"/>
    <n v="1"/>
    <n v="2.99"/>
    <n v="1"/>
    <n v="2.99"/>
    <n v="1.9900000000000002"/>
  </r>
  <r>
    <s v="2024-01-23"/>
    <x v="4"/>
    <x v="0"/>
    <x v="1"/>
    <n v="2"/>
    <n v="45"/>
    <n v="28"/>
    <n v="90"/>
    <n v="34"/>
  </r>
  <r>
    <s v="2024-02-23"/>
    <x v="5"/>
    <x v="0"/>
    <x v="3"/>
    <n v="2"/>
    <n v="11.99"/>
    <n v="5"/>
    <n v="23.98"/>
    <n v="13.98"/>
  </r>
  <r>
    <s v="2024-04-23"/>
    <x v="6"/>
    <x v="1"/>
    <x v="5"/>
    <n v="1"/>
    <n v="9.99"/>
    <n v="4.5"/>
    <n v="9.99"/>
    <n v="5.49"/>
  </r>
  <r>
    <s v="2024-03-25"/>
    <x v="7"/>
    <x v="0"/>
    <x v="12"/>
    <n v="5"/>
    <n v="14.99"/>
    <n v="8"/>
    <n v="74.95"/>
    <n v="34.950000000000003"/>
  </r>
  <r>
    <s v="2024-03-14"/>
    <x v="8"/>
    <x v="0"/>
    <x v="17"/>
    <n v="1"/>
    <n v="129.99"/>
    <n v="95"/>
    <n v="129.99"/>
    <n v="34.990000000000009"/>
  </r>
  <r>
    <s v="2024-01-27"/>
    <x v="9"/>
    <x v="2"/>
    <x v="1"/>
    <n v="1"/>
    <n v="45"/>
    <n v="28"/>
    <n v="45"/>
    <n v="17"/>
  </r>
  <r>
    <s v="2024-01-14"/>
    <x v="10"/>
    <x v="1"/>
    <x v="19"/>
    <n v="2"/>
    <n v="2.99"/>
    <n v="1"/>
    <n v="5.98"/>
    <n v="3.9800000000000004"/>
  </r>
  <r>
    <s v="2024-02-10"/>
    <x v="11"/>
    <x v="3"/>
    <x v="16"/>
    <n v="5"/>
    <n v="89.99"/>
    <n v="60"/>
    <n v="449.95"/>
    <n v="149.94999999999999"/>
  </r>
  <r>
    <s v="2024-04-03"/>
    <x v="12"/>
    <x v="0"/>
    <x v="10"/>
    <n v="1"/>
    <n v="79.989999999999995"/>
    <n v="50"/>
    <n v="79.989999999999995"/>
    <n v="29.989999999999995"/>
  </r>
  <r>
    <s v="2024-01-23"/>
    <x v="13"/>
    <x v="1"/>
    <x v="15"/>
    <n v="1"/>
    <n v="25"/>
    <n v="12"/>
    <n v="25"/>
    <n v="13"/>
  </r>
  <r>
    <s v="2024-01-06"/>
    <x v="14"/>
    <x v="1"/>
    <x v="11"/>
    <n v="1"/>
    <n v="34.99"/>
    <n v="18"/>
    <n v="34.99"/>
    <n v="16.990000000000002"/>
  </r>
  <r>
    <s v="2024-03-08"/>
    <x v="15"/>
    <x v="1"/>
    <x v="5"/>
    <n v="3"/>
    <n v="9.99"/>
    <n v="4.5"/>
    <n v="29.97"/>
    <n v="16.47"/>
  </r>
  <r>
    <s v="2024-03-25"/>
    <x v="16"/>
    <x v="3"/>
    <x v="19"/>
    <n v="2"/>
    <n v="2.99"/>
    <n v="1"/>
    <n v="5.98"/>
    <n v="3.9800000000000004"/>
  </r>
  <r>
    <s v="2024-01-08"/>
    <x v="17"/>
    <x v="3"/>
    <x v="4"/>
    <n v="2"/>
    <n v="59.99"/>
    <n v="35"/>
    <n v="119.98"/>
    <n v="49.980000000000004"/>
  </r>
  <r>
    <s v="2024-03-01"/>
    <x v="18"/>
    <x v="0"/>
    <x v="19"/>
    <n v="3"/>
    <n v="2.99"/>
    <n v="1"/>
    <n v="8.9700000000000006"/>
    <n v="5.9700000000000006"/>
  </r>
  <r>
    <s v="2024-01-08"/>
    <x v="19"/>
    <x v="1"/>
    <x v="15"/>
    <n v="3"/>
    <n v="25"/>
    <n v="12"/>
    <n v="75"/>
    <n v="39"/>
  </r>
  <r>
    <s v="2024-02-18"/>
    <x v="0"/>
    <x v="1"/>
    <x v="16"/>
    <n v="4"/>
    <n v="89.99"/>
    <n v="60"/>
    <n v="359.96"/>
    <n v="119.95999999999998"/>
  </r>
  <r>
    <s v="2024-03-31"/>
    <x v="1"/>
    <x v="0"/>
    <x v="2"/>
    <n v="3"/>
    <n v="12.5"/>
    <n v="6.2"/>
    <n v="37.5"/>
    <n v="18.899999999999999"/>
  </r>
  <r>
    <s v="2024-02-27"/>
    <x v="2"/>
    <x v="2"/>
    <x v="19"/>
    <n v="5"/>
    <n v="2.99"/>
    <n v="1"/>
    <n v="14.95"/>
    <n v="9.9499999999999993"/>
  </r>
  <r>
    <s v="2024-01-31"/>
    <x v="3"/>
    <x v="2"/>
    <x v="6"/>
    <n v="4"/>
    <n v="120"/>
    <n v="80"/>
    <n v="480"/>
    <n v="160"/>
  </r>
  <r>
    <s v="2024-01-04"/>
    <x v="4"/>
    <x v="3"/>
    <x v="16"/>
    <n v="5"/>
    <n v="89.99"/>
    <n v="60"/>
    <n v="449.95"/>
    <n v="149.94999999999999"/>
  </r>
  <r>
    <s v="2024-04-04"/>
    <x v="5"/>
    <x v="0"/>
    <x v="19"/>
    <n v="1"/>
    <n v="2.99"/>
    <n v="1"/>
    <n v="2.99"/>
    <n v="1.9900000000000002"/>
  </r>
  <r>
    <s v="2024-04-01"/>
    <x v="6"/>
    <x v="1"/>
    <x v="10"/>
    <n v="1"/>
    <n v="79.989999999999995"/>
    <n v="50"/>
    <n v="79.989999999999995"/>
    <n v="29.989999999999995"/>
  </r>
  <r>
    <s v="2024-02-11"/>
    <x v="7"/>
    <x v="2"/>
    <x v="17"/>
    <n v="1"/>
    <n v="129.99"/>
    <n v="95"/>
    <n v="129.99"/>
    <n v="34.990000000000009"/>
  </r>
  <r>
    <s v="2024-02-09"/>
    <x v="8"/>
    <x v="2"/>
    <x v="6"/>
    <n v="2"/>
    <n v="120"/>
    <n v="80"/>
    <n v="240"/>
    <n v="80"/>
  </r>
  <r>
    <s v="2024-02-06"/>
    <x v="9"/>
    <x v="3"/>
    <x v="6"/>
    <n v="3"/>
    <n v="120"/>
    <n v="80"/>
    <n v="360"/>
    <n v="120"/>
  </r>
  <r>
    <s v="2024-03-14"/>
    <x v="10"/>
    <x v="0"/>
    <x v="2"/>
    <n v="4"/>
    <n v="12.5"/>
    <n v="6.2"/>
    <n v="50"/>
    <n v="25.2"/>
  </r>
  <r>
    <s v="2024-02-13"/>
    <x v="11"/>
    <x v="2"/>
    <x v="3"/>
    <n v="3"/>
    <n v="11.99"/>
    <n v="5"/>
    <n v="35.97"/>
    <n v="20.97"/>
  </r>
  <r>
    <s v="2024-04-10"/>
    <x v="12"/>
    <x v="2"/>
    <x v="16"/>
    <n v="2"/>
    <n v="89.99"/>
    <n v="60"/>
    <n v="179.98"/>
    <n v="59.97999999999999"/>
  </r>
  <r>
    <s v="2024-04-16"/>
    <x v="13"/>
    <x v="2"/>
    <x v="13"/>
    <n v="2"/>
    <n v="39.99"/>
    <n v="22"/>
    <n v="79.98"/>
    <n v="35.980000000000004"/>
  </r>
  <r>
    <s v="2024-02-01"/>
    <x v="14"/>
    <x v="2"/>
    <x v="11"/>
    <n v="4"/>
    <n v="34.99"/>
    <n v="18"/>
    <n v="139.96"/>
    <n v="67.960000000000008"/>
  </r>
  <r>
    <s v="2024-01-16"/>
    <x v="15"/>
    <x v="2"/>
    <x v="6"/>
    <n v="1"/>
    <n v="120"/>
    <n v="80"/>
    <n v="120"/>
    <n v="40"/>
  </r>
  <r>
    <s v="2024-03-01"/>
    <x v="16"/>
    <x v="2"/>
    <x v="11"/>
    <n v="3"/>
    <n v="34.99"/>
    <n v="18"/>
    <n v="104.97"/>
    <n v="50.97"/>
  </r>
  <r>
    <s v="2024-04-08"/>
    <x v="17"/>
    <x v="1"/>
    <x v="3"/>
    <n v="5"/>
    <n v="11.99"/>
    <n v="5"/>
    <n v="59.95"/>
    <n v="34.950000000000003"/>
  </r>
  <r>
    <s v="2024-03-30"/>
    <x v="18"/>
    <x v="1"/>
    <x v="9"/>
    <n v="1"/>
    <n v="3.5"/>
    <n v="1.2"/>
    <n v="3.5"/>
    <n v="2.2999999999999998"/>
  </r>
  <r>
    <s v="2024-02-16"/>
    <x v="19"/>
    <x v="3"/>
    <x v="15"/>
    <n v="1"/>
    <n v="25"/>
    <n v="12"/>
    <n v="25"/>
    <n v="13"/>
  </r>
  <r>
    <s v="2024-03-10"/>
    <x v="0"/>
    <x v="3"/>
    <x v="10"/>
    <n v="4"/>
    <n v="79.989999999999995"/>
    <n v="50"/>
    <n v="319.95999999999998"/>
    <n v="119.95999999999998"/>
  </r>
  <r>
    <s v="2024-03-26"/>
    <x v="1"/>
    <x v="3"/>
    <x v="19"/>
    <n v="4"/>
    <n v="2.99"/>
    <n v="1"/>
    <n v="11.96"/>
    <n v="7.9600000000000009"/>
  </r>
  <r>
    <s v="2024-03-18"/>
    <x v="2"/>
    <x v="3"/>
    <x v="17"/>
    <n v="3"/>
    <n v="129.99"/>
    <n v="95"/>
    <n v="389.97"/>
    <n v="104.97000000000003"/>
  </r>
  <r>
    <s v="2024-04-15"/>
    <x v="3"/>
    <x v="2"/>
    <x v="12"/>
    <n v="1"/>
    <n v="14.99"/>
    <n v="8"/>
    <n v="14.99"/>
    <n v="6.99"/>
  </r>
  <r>
    <s v="2024-03-05"/>
    <x v="4"/>
    <x v="1"/>
    <x v="17"/>
    <n v="2"/>
    <n v="129.99"/>
    <n v="95"/>
    <n v="259.98"/>
    <n v="69.980000000000018"/>
  </r>
  <r>
    <s v="2024-01-28"/>
    <x v="5"/>
    <x v="0"/>
    <x v="3"/>
    <n v="1"/>
    <n v="11.99"/>
    <n v="5"/>
    <n v="11.99"/>
    <n v="6.99"/>
  </r>
  <r>
    <s v="2024-04-12"/>
    <x v="6"/>
    <x v="3"/>
    <x v="12"/>
    <n v="1"/>
    <n v="14.99"/>
    <n v="8"/>
    <n v="14.99"/>
    <n v="6.99"/>
  </r>
  <r>
    <s v="2024-01-11"/>
    <x v="7"/>
    <x v="2"/>
    <x v="10"/>
    <n v="1"/>
    <n v="79.989999999999995"/>
    <n v="50"/>
    <n v="79.989999999999995"/>
    <n v="29.989999999999995"/>
  </r>
  <r>
    <s v="2024-01-13"/>
    <x v="8"/>
    <x v="3"/>
    <x v="0"/>
    <n v="3"/>
    <n v="22.99"/>
    <n v="14"/>
    <n v="68.97"/>
    <n v="26.97"/>
  </r>
  <r>
    <s v="2024-01-03"/>
    <x v="9"/>
    <x v="0"/>
    <x v="3"/>
    <n v="5"/>
    <n v="11.99"/>
    <n v="5"/>
    <n v="59.95"/>
    <n v="34.950000000000003"/>
  </r>
  <r>
    <s v="2024-04-14"/>
    <x v="10"/>
    <x v="0"/>
    <x v="10"/>
    <n v="5"/>
    <n v="79.989999999999995"/>
    <n v="50"/>
    <n v="399.95"/>
    <n v="149.94999999999999"/>
  </r>
  <r>
    <s v="2024-04-28"/>
    <x v="11"/>
    <x v="0"/>
    <x v="16"/>
    <n v="1"/>
    <n v="89.99"/>
    <n v="60"/>
    <n v="89.99"/>
    <n v="29.989999999999995"/>
  </r>
  <r>
    <s v="2024-04-21"/>
    <x v="12"/>
    <x v="0"/>
    <x v="6"/>
    <n v="3"/>
    <n v="120"/>
    <n v="80"/>
    <n v="360"/>
    <n v="120"/>
  </r>
  <r>
    <s v="2024-02-21"/>
    <x v="13"/>
    <x v="2"/>
    <x v="16"/>
    <n v="3"/>
    <n v="89.99"/>
    <n v="60"/>
    <n v="269.97000000000003"/>
    <n v="89.970000000000027"/>
  </r>
  <r>
    <s v="2024-03-20"/>
    <x v="14"/>
    <x v="0"/>
    <x v="11"/>
    <n v="3"/>
    <n v="34.99"/>
    <n v="18"/>
    <n v="104.97"/>
    <n v="50.97"/>
  </r>
  <r>
    <s v="2024-03-22"/>
    <x v="15"/>
    <x v="2"/>
    <x v="0"/>
    <n v="4"/>
    <n v="22.99"/>
    <n v="14"/>
    <n v="91.96"/>
    <n v="35.959999999999994"/>
  </r>
  <r>
    <s v="2024-03-12"/>
    <x v="16"/>
    <x v="2"/>
    <x v="13"/>
    <n v="5"/>
    <n v="39.99"/>
    <n v="22"/>
    <n v="199.95"/>
    <n v="89.949999999999989"/>
  </r>
  <r>
    <s v="2024-01-23"/>
    <x v="17"/>
    <x v="0"/>
    <x v="8"/>
    <n v="5"/>
    <n v="145"/>
    <n v="100"/>
    <n v="725"/>
    <n v="225"/>
  </r>
  <r>
    <s v="2024-04-05"/>
    <x v="18"/>
    <x v="1"/>
    <x v="18"/>
    <n v="3"/>
    <n v="15.99"/>
    <n v="9"/>
    <n v="47.97"/>
    <n v="20.97"/>
  </r>
  <r>
    <s v="2024-03-24"/>
    <x v="19"/>
    <x v="2"/>
    <x v="9"/>
    <n v="1"/>
    <n v="3.5"/>
    <n v="1.2"/>
    <n v="3.5"/>
    <n v="2.2999999999999998"/>
  </r>
  <r>
    <s v="2024-01-18"/>
    <x v="0"/>
    <x v="2"/>
    <x v="17"/>
    <n v="1"/>
    <n v="129.99"/>
    <n v="95"/>
    <n v="129.99"/>
    <n v="34.990000000000009"/>
  </r>
  <r>
    <s v="2024-02-27"/>
    <x v="1"/>
    <x v="2"/>
    <x v="6"/>
    <n v="4"/>
    <n v="120"/>
    <n v="80"/>
    <n v="480"/>
    <n v="160"/>
  </r>
  <r>
    <s v="2024-03-18"/>
    <x v="2"/>
    <x v="1"/>
    <x v="4"/>
    <n v="4"/>
    <n v="59.99"/>
    <n v="35"/>
    <n v="239.96"/>
    <n v="99.960000000000008"/>
  </r>
  <r>
    <s v="2024-02-29"/>
    <x v="3"/>
    <x v="2"/>
    <x v="17"/>
    <n v="2"/>
    <n v="129.99"/>
    <n v="95"/>
    <n v="259.98"/>
    <n v="69.980000000000018"/>
  </r>
  <r>
    <s v="2024-02-23"/>
    <x v="4"/>
    <x v="0"/>
    <x v="10"/>
    <n v="5"/>
    <n v="79.989999999999995"/>
    <n v="50"/>
    <n v="399.95"/>
    <n v="149.94999999999999"/>
  </r>
  <r>
    <s v="2024-01-10"/>
    <x v="5"/>
    <x v="2"/>
    <x v="17"/>
    <n v="1"/>
    <n v="129.99"/>
    <n v="95"/>
    <n v="129.99"/>
    <n v="34.990000000000009"/>
  </r>
  <r>
    <s v="2024-01-01"/>
    <x v="6"/>
    <x v="2"/>
    <x v="7"/>
    <n v="3"/>
    <n v="20"/>
    <n v="12"/>
    <n v="60"/>
    <n v="24"/>
  </r>
  <r>
    <s v="2024-02-25"/>
    <x v="7"/>
    <x v="2"/>
    <x v="7"/>
    <n v="2"/>
    <n v="20"/>
    <n v="12"/>
    <n v="40"/>
    <n v="16"/>
  </r>
  <r>
    <s v="2024-02-08"/>
    <x v="8"/>
    <x v="0"/>
    <x v="3"/>
    <n v="2"/>
    <n v="11.99"/>
    <n v="5"/>
    <n v="23.98"/>
    <n v="13.98"/>
  </r>
  <r>
    <s v="2024-02-04"/>
    <x v="9"/>
    <x v="3"/>
    <x v="3"/>
    <n v="2"/>
    <n v="11.99"/>
    <n v="5"/>
    <n v="23.98"/>
    <n v="13.98"/>
  </r>
  <r>
    <s v="2024-02-15"/>
    <x v="10"/>
    <x v="0"/>
    <x v="3"/>
    <n v="1"/>
    <n v="11.99"/>
    <n v="5"/>
    <n v="11.99"/>
    <n v="6.99"/>
  </r>
  <r>
    <s v="2024-02-09"/>
    <x v="11"/>
    <x v="1"/>
    <x v="6"/>
    <n v="4"/>
    <n v="120"/>
    <n v="80"/>
    <n v="480"/>
    <n v="160"/>
  </r>
  <r>
    <s v="2024-04-08"/>
    <x v="12"/>
    <x v="2"/>
    <x v="9"/>
    <n v="1"/>
    <n v="3.5"/>
    <n v="1.2"/>
    <n v="3.5"/>
    <n v="2.2999999999999998"/>
  </r>
  <r>
    <s v="2024-03-20"/>
    <x v="13"/>
    <x v="1"/>
    <x v="14"/>
    <n v="3"/>
    <n v="18"/>
    <n v="9"/>
    <n v="54"/>
    <n v="27"/>
  </r>
  <r>
    <s v="2024-02-01"/>
    <x v="14"/>
    <x v="0"/>
    <x v="5"/>
    <n v="3"/>
    <n v="9.99"/>
    <n v="4.5"/>
    <n v="29.97"/>
    <n v="16.47"/>
  </r>
  <r>
    <s v="2024-03-19"/>
    <x v="15"/>
    <x v="0"/>
    <x v="11"/>
    <n v="1"/>
    <n v="34.99"/>
    <n v="18"/>
    <n v="34.99"/>
    <n v="16.990000000000002"/>
  </r>
  <r>
    <s v="2024-01-13"/>
    <x v="16"/>
    <x v="1"/>
    <x v="2"/>
    <n v="1"/>
    <n v="12.5"/>
    <n v="6.2"/>
    <n v="12.5"/>
    <n v="6.3"/>
  </r>
  <r>
    <s v="2024-04-22"/>
    <x v="17"/>
    <x v="3"/>
    <x v="6"/>
    <n v="1"/>
    <n v="120"/>
    <n v="80"/>
    <n v="120"/>
    <n v="40"/>
  </r>
  <r>
    <s v="2024-01-31"/>
    <x v="18"/>
    <x v="1"/>
    <x v="14"/>
    <n v="5"/>
    <n v="18"/>
    <n v="9"/>
    <n v="90"/>
    <n v="45"/>
  </r>
  <r>
    <s v="2024-01-23"/>
    <x v="19"/>
    <x v="3"/>
    <x v="7"/>
    <n v="5"/>
    <n v="20"/>
    <n v="12"/>
    <n v="100"/>
    <n v="40"/>
  </r>
  <r>
    <s v="2024-02-07"/>
    <x v="0"/>
    <x v="2"/>
    <x v="15"/>
    <n v="5"/>
    <n v="25"/>
    <n v="12"/>
    <n v="125"/>
    <n v="65"/>
  </r>
  <r>
    <s v="2024-03-28"/>
    <x v="1"/>
    <x v="1"/>
    <x v="7"/>
    <n v="2"/>
    <n v="20"/>
    <n v="12"/>
    <n v="40"/>
    <n v="16"/>
  </r>
  <r>
    <s v="2024-04-10"/>
    <x v="2"/>
    <x v="1"/>
    <x v="17"/>
    <n v="2"/>
    <n v="129.99"/>
    <n v="95"/>
    <n v="259.98"/>
    <n v="69.980000000000018"/>
  </r>
  <r>
    <s v="2024-01-18"/>
    <x v="3"/>
    <x v="2"/>
    <x v="6"/>
    <n v="1"/>
    <n v="120"/>
    <n v="80"/>
    <n v="120"/>
    <n v="40"/>
  </r>
  <r>
    <s v="2024-01-25"/>
    <x v="4"/>
    <x v="2"/>
    <x v="3"/>
    <n v="3"/>
    <n v="11.99"/>
    <n v="5"/>
    <n v="35.97"/>
    <n v="20.97"/>
  </r>
  <r>
    <s v="2024-01-21"/>
    <x v="5"/>
    <x v="3"/>
    <x v="3"/>
    <n v="5"/>
    <n v="11.99"/>
    <n v="5"/>
    <n v="59.95"/>
    <n v="34.950000000000003"/>
  </r>
  <r>
    <s v="2024-03-30"/>
    <x v="6"/>
    <x v="2"/>
    <x v="17"/>
    <n v="4"/>
    <n v="129.99"/>
    <n v="95"/>
    <n v="519.96"/>
    <n v="139.96000000000004"/>
  </r>
  <r>
    <s v="2024-01-29"/>
    <x v="7"/>
    <x v="3"/>
    <x v="10"/>
    <n v="4"/>
    <n v="79.989999999999995"/>
    <n v="50"/>
    <n v="319.95999999999998"/>
    <n v="119.95999999999998"/>
  </r>
  <r>
    <s v="2024-02-15"/>
    <x v="8"/>
    <x v="3"/>
    <x v="2"/>
    <n v="1"/>
    <n v="12.5"/>
    <n v="6.2"/>
    <n v="12.5"/>
    <n v="6.3"/>
  </r>
  <r>
    <s v="2024-04-30"/>
    <x v="9"/>
    <x v="2"/>
    <x v="13"/>
    <n v="5"/>
    <n v="39.99"/>
    <n v="22"/>
    <n v="199.95"/>
    <n v="89.949999999999989"/>
  </r>
  <r>
    <s v="2024-02-02"/>
    <x v="10"/>
    <x v="0"/>
    <x v="19"/>
    <n v="4"/>
    <n v="2.99"/>
    <n v="1"/>
    <n v="11.96"/>
    <n v="7.9600000000000009"/>
  </r>
  <r>
    <s v="2024-03-27"/>
    <x v="11"/>
    <x v="3"/>
    <x v="14"/>
    <n v="1"/>
    <n v="18"/>
    <n v="9"/>
    <n v="18"/>
    <n v="9"/>
  </r>
  <r>
    <s v="2024-01-08"/>
    <x v="12"/>
    <x v="2"/>
    <x v="0"/>
    <n v="5"/>
    <n v="22.99"/>
    <n v="14"/>
    <n v="114.95"/>
    <n v="44.95"/>
  </r>
  <r>
    <s v="2024-01-15"/>
    <x v="13"/>
    <x v="2"/>
    <x v="10"/>
    <n v="5"/>
    <n v="79.989999999999995"/>
    <n v="50"/>
    <n v="399.95"/>
    <n v="149.94999999999999"/>
  </r>
  <r>
    <s v="2024-02-11"/>
    <x v="14"/>
    <x v="3"/>
    <x v="10"/>
    <n v="4"/>
    <n v="79.989999999999995"/>
    <n v="50"/>
    <n v="319.95999999999998"/>
    <n v="119.95999999999998"/>
  </r>
  <r>
    <s v="2024-04-18"/>
    <x v="15"/>
    <x v="0"/>
    <x v="3"/>
    <n v="4"/>
    <n v="11.99"/>
    <n v="5"/>
    <n v="47.96"/>
    <n v="27.96"/>
  </r>
  <r>
    <s v="2024-02-06"/>
    <x v="16"/>
    <x v="3"/>
    <x v="0"/>
    <n v="2"/>
    <n v="22.99"/>
    <n v="14"/>
    <n v="45.98"/>
    <n v="17.979999999999997"/>
  </r>
  <r>
    <s v="2024-02-04"/>
    <x v="17"/>
    <x v="0"/>
    <x v="7"/>
    <n v="2"/>
    <n v="20"/>
    <n v="12"/>
    <n v="40"/>
    <n v="16"/>
  </r>
  <r>
    <s v="2024-01-30"/>
    <x v="18"/>
    <x v="3"/>
    <x v="3"/>
    <n v="5"/>
    <n v="11.99"/>
    <n v="5"/>
    <n v="59.95"/>
    <n v="34.950000000000003"/>
  </r>
  <r>
    <s v="2024-02-08"/>
    <x v="19"/>
    <x v="1"/>
    <x v="13"/>
    <n v="4"/>
    <n v="39.99"/>
    <n v="22"/>
    <n v="159.96"/>
    <n v="71.96000000000000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A8CB0A3-B253-4621-8772-36D0A5CFBC8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J3:K24" firstHeaderRow="1" firstDataRow="1" firstDataCol="1"/>
  <pivotFields count="9">
    <pivotField showAll="0"/>
    <pivotField showAll="0"/>
    <pivotField showAll="0"/>
    <pivotField axis="axisRow" showAll="0">
      <items count="21">
        <item x="12"/>
        <item x="1"/>
        <item x="8"/>
        <item x="5"/>
        <item x="0"/>
        <item x="19"/>
        <item x="11"/>
        <item x="14"/>
        <item x="15"/>
        <item x="17"/>
        <item x="9"/>
        <item x="16"/>
        <item x="3"/>
        <item x="4"/>
        <item x="6"/>
        <item x="13"/>
        <item x="2"/>
        <item x="10"/>
        <item x="18"/>
        <item x="7"/>
        <item t="default"/>
      </items>
    </pivotField>
    <pivotField dataField="1" showAll="0"/>
    <pivotField showAll="0"/>
    <pivotField showAll="0"/>
    <pivotField showAll="0"/>
    <pivotField showAll="0"/>
  </pivotFields>
  <rowFields count="1">
    <field x="3"/>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Units Sold" fld="4" baseField="0" baseItem="0"/>
  </dataFields>
  <chartFormats count="2">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E387FB5-D064-4BA5-A787-6C0760E505C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3:H24" firstHeaderRow="1" firstDataRow="1" firstDataCol="1"/>
  <pivotFields count="9">
    <pivotField showAll="0"/>
    <pivotField axis="axisRow" showAll="0">
      <items count="21">
        <item x="0"/>
        <item x="1"/>
        <item x="2"/>
        <item x="3"/>
        <item x="4"/>
        <item x="5"/>
        <item x="6"/>
        <item x="7"/>
        <item x="8"/>
        <item x="9"/>
        <item x="10"/>
        <item x="11"/>
        <item x="12"/>
        <item x="13"/>
        <item x="14"/>
        <item x="15"/>
        <item x="16"/>
        <item x="17"/>
        <item x="18"/>
        <item x="19"/>
        <item t="default"/>
      </items>
    </pivotField>
    <pivotField showAll="0"/>
    <pivotField showAll="0">
      <items count="21">
        <item x="12"/>
        <item x="1"/>
        <item x="8"/>
        <item x="5"/>
        <item x="0"/>
        <item x="19"/>
        <item x="11"/>
        <item x="14"/>
        <item x="15"/>
        <item x="17"/>
        <item x="9"/>
        <item x="16"/>
        <item x="3"/>
        <item x="4"/>
        <item x="6"/>
        <item x="13"/>
        <item x="2"/>
        <item x="10"/>
        <item x="18"/>
        <item x="7"/>
        <item t="default"/>
      </items>
    </pivotField>
    <pivotField showAll="0"/>
    <pivotField showAll="0"/>
    <pivotField showAll="0"/>
    <pivotField dataField="1" showAll="0"/>
    <pivotField showAll="0"/>
  </pivotFields>
  <rowFields count="1">
    <field x="1"/>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Total Sales" fld="7" baseField="0" baseItem="0"/>
  </dataFields>
  <chartFormats count="4">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4DAD5E2-BD41-44BA-8029-7DF6060ED6C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D3:E24" firstHeaderRow="1" firstDataRow="1" firstDataCol="1"/>
  <pivotFields count="9">
    <pivotField showAll="0"/>
    <pivotField showAll="0"/>
    <pivotField showAll="0"/>
    <pivotField axis="axisRow" showAll="0">
      <items count="21">
        <item x="12"/>
        <item x="1"/>
        <item x="8"/>
        <item x="5"/>
        <item x="0"/>
        <item x="19"/>
        <item x="11"/>
        <item x="14"/>
        <item x="15"/>
        <item x="17"/>
        <item x="9"/>
        <item x="16"/>
        <item x="3"/>
        <item x="4"/>
        <item x="6"/>
        <item x="13"/>
        <item x="2"/>
        <item x="10"/>
        <item x="18"/>
        <item x="7"/>
        <item t="default"/>
      </items>
    </pivotField>
    <pivotField showAll="0"/>
    <pivotField showAll="0"/>
    <pivotField showAll="0"/>
    <pivotField dataField="1" showAll="0"/>
    <pivotField showAll="0"/>
  </pivotFields>
  <rowFields count="1">
    <field x="3"/>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Total Sales" fld="7" baseField="0" baseItem="0"/>
  </dataFields>
  <chartFormats count="2">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107C05F-89F9-40D0-BF0C-412E7E704FF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8" firstHeaderRow="1" firstDataRow="1" firstDataCol="1"/>
  <pivotFields count="9">
    <pivotField showAll="0"/>
    <pivotField showAll="0">
      <items count="21">
        <item x="0"/>
        <item x="1"/>
        <item x="2"/>
        <item x="3"/>
        <item x="4"/>
        <item x="5"/>
        <item x="6"/>
        <item x="7"/>
        <item x="8"/>
        <item x="9"/>
        <item x="10"/>
        <item x="11"/>
        <item x="12"/>
        <item x="13"/>
        <item x="14"/>
        <item x="15"/>
        <item x="16"/>
        <item x="17"/>
        <item x="18"/>
        <item x="19"/>
        <item t="default"/>
      </items>
    </pivotField>
    <pivotField axis="axisRow" showAll="0">
      <items count="5">
        <item x="2"/>
        <item x="1"/>
        <item x="0"/>
        <item x="3"/>
        <item t="default"/>
      </items>
    </pivotField>
    <pivotField showAll="0">
      <items count="21">
        <item x="12"/>
        <item x="1"/>
        <item x="8"/>
        <item x="5"/>
        <item x="0"/>
        <item x="19"/>
        <item x="11"/>
        <item x="14"/>
        <item x="15"/>
        <item x="17"/>
        <item x="9"/>
        <item x="16"/>
        <item x="3"/>
        <item x="4"/>
        <item x="6"/>
        <item x="13"/>
        <item x="2"/>
        <item x="10"/>
        <item x="18"/>
        <item x="7"/>
        <item t="default"/>
      </items>
    </pivotField>
    <pivotField showAll="0"/>
    <pivotField showAll="0"/>
    <pivotField showAll="0"/>
    <pivotField dataField="1" showAll="0"/>
    <pivotField showAll="0"/>
  </pivotFields>
  <rowFields count="1">
    <field x="2"/>
  </rowFields>
  <rowItems count="5">
    <i>
      <x/>
    </i>
    <i>
      <x v="1"/>
    </i>
    <i>
      <x v="2"/>
    </i>
    <i>
      <x v="3"/>
    </i>
    <i t="grand">
      <x/>
    </i>
  </rowItems>
  <colItems count="1">
    <i/>
  </colItems>
  <dataFields count="1">
    <dataField name="Sum of Total Sales" fld="7" baseField="0" baseItem="0"/>
  </dataFields>
  <chartFormats count="10">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2" count="1" selected="0">
            <x v="1"/>
          </reference>
        </references>
      </pivotArea>
    </chartFormat>
    <chartFormat chart="2" format="2">
      <pivotArea type="data" outline="0" fieldPosition="0">
        <references count="2">
          <reference field="4294967294" count="1" selected="0">
            <x v="0"/>
          </reference>
          <reference field="2" count="1" selected="0">
            <x v="0"/>
          </reference>
        </references>
      </pivotArea>
    </chartFormat>
    <chartFormat chart="2" format="3">
      <pivotArea type="data" outline="0" fieldPosition="0">
        <references count="2">
          <reference field="4294967294" count="1" selected="0">
            <x v="0"/>
          </reference>
          <reference field="2" count="1" selected="0">
            <x v="3"/>
          </reference>
        </references>
      </pivotArea>
    </chartFormat>
    <chartFormat chart="2" format="4">
      <pivotArea type="data" outline="0" fieldPosition="0">
        <references count="2">
          <reference field="4294967294" count="1" selected="0">
            <x v="0"/>
          </reference>
          <reference field="2" count="1" selected="0">
            <x v="2"/>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2" count="1" selected="0">
            <x v="0"/>
          </reference>
        </references>
      </pivotArea>
    </chartFormat>
    <chartFormat chart="5" format="12">
      <pivotArea type="data" outline="0" fieldPosition="0">
        <references count="2">
          <reference field="4294967294" count="1" selected="0">
            <x v="0"/>
          </reference>
          <reference field="2" count="1" selected="0">
            <x v="1"/>
          </reference>
        </references>
      </pivotArea>
    </chartFormat>
    <chartFormat chart="5" format="13">
      <pivotArea type="data" outline="0" fieldPosition="0">
        <references count="2">
          <reference field="4294967294" count="1" selected="0">
            <x v="0"/>
          </reference>
          <reference field="2" count="1" selected="0">
            <x v="2"/>
          </reference>
        </references>
      </pivotArea>
    </chartFormat>
    <chartFormat chart="5" format="1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 xr10:uid="{2666EC31-9937-498E-B4E2-79F712566D30}" sourceName="Sales Person">
  <pivotTables>
    <pivotTable tabId="2" name="PivotTable1"/>
  </pivotTables>
  <data>
    <tabular pivotCacheId="1453637146">
      <items count="20">
        <i x="0" s="1"/>
        <i x="1" s="1"/>
        <i x="2" s="1"/>
        <i x="3" s="1"/>
        <i x="4" s="1"/>
        <i x="5" s="1"/>
        <i x="6" s="1"/>
        <i x="7" s="1"/>
        <i x="8" s="1"/>
        <i x="9" s="1"/>
        <i x="10" s="1"/>
        <i x="11" s="1"/>
        <i x="12" s="1"/>
        <i x="13" s="1"/>
        <i x="14" s="1"/>
        <i x="15" s="1"/>
        <i x="16" s="1"/>
        <i x="17" s="1"/>
        <i x="18" s="1"/>
        <i x="1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FBCEB40-B141-4081-BC5A-92320BFE0406}" sourceName="Region">
  <pivotTables>
    <pivotTable tabId="2" name="PivotTable1"/>
  </pivotTables>
  <data>
    <tabular pivotCacheId="1453637146">
      <items count="4">
        <i x="2" s="1"/>
        <i x="1" s="1"/>
        <i x="0" s="1"/>
        <i x="3"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242A2F74-3D47-488A-93BE-6246E9556A7C}" sourceName="Product">
  <pivotTables>
    <pivotTable tabId="2" name="PivotTable1"/>
    <pivotTable tabId="2" name="PivotTable2"/>
    <pivotTable tabId="2" name="PivotTable3"/>
    <pivotTable tabId="2" name="PivotTable4"/>
  </pivotTables>
  <data>
    <tabular pivotCacheId="1453637146">
      <items count="20">
        <i x="12" s="1"/>
        <i x="1" s="1"/>
        <i x="8" s="1"/>
        <i x="5" s="1"/>
        <i x="0" s="1"/>
        <i x="19" s="1"/>
        <i x="11" s="1"/>
        <i x="14" s="1"/>
        <i x="15" s="1"/>
        <i x="17" s="1"/>
        <i x="9" s="1"/>
        <i x="16" s="1"/>
        <i x="3" s="1"/>
        <i x="4" s="1"/>
        <i x="6" s="1"/>
        <i x="13" s="1"/>
        <i x="2" s="1"/>
        <i x="10" s="1"/>
        <i x="18"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Person 1" xr10:uid="{02509957-749D-48CA-B5F5-A2067F76DA33}" cache="Slicer_Sales_Person" caption="Sales Person" style="SlicerStyleDark1" rowHeight="234950"/>
  <slicer name="Region 1" xr10:uid="{0CEE9F32-2293-44AA-AF8F-8CF394A90C8E}" cache="Slicer_Region" caption="Region" columnCount="2" showCaption="0" style="SlicerStyleDark1" rowHeight="234950"/>
  <slicer name="Product 1" xr10:uid="{97CF2945-8E6E-4D0F-8185-2F92EC9D5AE6}" cache="Slicer_Product" caption="Product" startItem="1" style="SlicerStyleDark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Person" xr10:uid="{8685AB20-1178-41E5-AA39-40154026332F}" cache="Slicer_Sales_Person" caption="Sales Person" rowHeight="234950"/>
  <slicer name="Region" xr10:uid="{B6F61E89-FF55-457A-88D1-436F6FD19F9A}" cache="Slicer_Region" caption="Region" columnCount="2" showCaption="0" rowHeight="234950"/>
  <slicer name="Product" xr10:uid="{4F58B18C-396C-414B-95C1-64E70B7E03B7}" cache="Slicer_Product" caption="Produc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D8CA561-237B-4964-97B5-9107BA476EE6}" name="Table1" displayName="Table1" ref="A1:I501" totalsRowShown="0" headerRowDxfId="9" tableBorderDxfId="8">
  <autoFilter ref="A1:I501" xr:uid="{7D8CA561-237B-4964-97B5-9107BA476EE6}"/>
  <tableColumns count="9">
    <tableColumn id="1" xr3:uid="{07773199-58D1-4FBC-BAD3-0F260C0FA200}" name="Date" dataDxfId="7"/>
    <tableColumn id="2" xr3:uid="{3F78F46E-6EE9-4648-B437-0E153BBAA7E8}" name="Sales Person" dataDxfId="6"/>
    <tableColumn id="3" xr3:uid="{8AA82E74-A816-432F-A87D-4DF46D39A92F}" name="Region" dataDxfId="5"/>
    <tableColumn id="4" xr3:uid="{7F26FE97-2993-4490-BD41-B900EC39AC39}" name="Product" dataDxfId="4"/>
    <tableColumn id="5" xr3:uid="{2DBFCEFA-DA92-49AE-BDF1-C8325AB0E7FB}" name="Units Sold" dataDxfId="3"/>
    <tableColumn id="6" xr3:uid="{173085FD-7397-449E-8C91-3EED5C8F4F41}" name="Unit Price" dataDxfId="2"/>
    <tableColumn id="7" xr3:uid="{220BFD28-31AE-4342-B76F-CD814631FD10}" name="Cost of Goods" dataDxfId="1"/>
    <tableColumn id="8" xr3:uid="{244C8CFC-4C93-4F57-B3B2-090644A94461}" name="Total Sales" dataDxfId="0"/>
    <tableColumn id="9" xr3:uid="{9708B9F8-9706-43FD-9F81-7A03915F0EEB}" name="Profit">
      <calculatedColumnFormula>H2-(G2*E2)</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2.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B7E3F-562A-4955-B5A3-B81E28AD557B}">
  <dimension ref="E11"/>
  <sheetViews>
    <sheetView showGridLines="0" showRowColHeaders="0" tabSelected="1" zoomScale="87" workbookViewId="0">
      <selection activeCell="Y15" sqref="Y15"/>
    </sheetView>
  </sheetViews>
  <sheetFormatPr defaultRowHeight="14.4" x14ac:dyDescent="0.3"/>
  <sheetData>
    <row r="11" spans="5:5" x14ac:dyDescent="0.3">
      <c r="E11" s="1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01"/>
  <sheetViews>
    <sheetView workbookViewId="0">
      <selection activeCell="K6" sqref="K6"/>
    </sheetView>
  </sheetViews>
  <sheetFormatPr defaultRowHeight="14.4" x14ac:dyDescent="0.3"/>
  <cols>
    <col min="1" max="1" width="10.33203125" bestFit="1" customWidth="1"/>
    <col min="2" max="2" width="15.88671875" bestFit="1" customWidth="1"/>
    <col min="3" max="3" width="11.21875" bestFit="1" customWidth="1"/>
    <col min="4" max="4" width="16.109375" bestFit="1" customWidth="1"/>
    <col min="5" max="5" width="13.88671875" bestFit="1" customWidth="1"/>
    <col min="6" max="6" width="13.5546875" bestFit="1" customWidth="1"/>
    <col min="7" max="7" width="17.109375" bestFit="1" customWidth="1"/>
    <col min="8" max="8" width="14.33203125" bestFit="1" customWidth="1"/>
    <col min="9" max="9" width="10.109375" bestFit="1" customWidth="1"/>
    <col min="11" max="11" width="12.109375" bestFit="1" customWidth="1"/>
  </cols>
  <sheetData>
    <row r="1" spans="1:11" x14ac:dyDescent="0.3">
      <c r="A1" s="6" t="s">
        <v>0</v>
      </c>
      <c r="B1" s="2" t="s">
        <v>1</v>
      </c>
      <c r="C1" s="2" t="s">
        <v>2</v>
      </c>
      <c r="D1" s="2" t="s">
        <v>3</v>
      </c>
      <c r="E1" s="2" t="s">
        <v>4</v>
      </c>
      <c r="F1" s="2" t="s">
        <v>5</v>
      </c>
      <c r="G1" s="2" t="s">
        <v>6</v>
      </c>
      <c r="H1" s="2" t="s">
        <v>7</v>
      </c>
      <c r="I1" s="4" t="s">
        <v>172</v>
      </c>
      <c r="K1" s="3" t="s">
        <v>171</v>
      </c>
    </row>
    <row r="2" spans="1:11" x14ac:dyDescent="0.3">
      <c r="A2" s="7" t="s">
        <v>8</v>
      </c>
      <c r="B2" s="1" t="s">
        <v>127</v>
      </c>
      <c r="C2" s="1" t="s">
        <v>147</v>
      </c>
      <c r="D2" s="1" t="s">
        <v>151</v>
      </c>
      <c r="E2" s="1">
        <v>3</v>
      </c>
      <c r="F2" s="1">
        <v>22.99</v>
      </c>
      <c r="G2" s="1">
        <v>14</v>
      </c>
      <c r="H2" s="1">
        <v>68.97</v>
      </c>
      <c r="I2">
        <f>H2-(G2*E2)</f>
        <v>26.97</v>
      </c>
      <c r="K2">
        <f>SUM(H2:H501)</f>
        <v>65489.179999999971</v>
      </c>
    </row>
    <row r="3" spans="1:11" x14ac:dyDescent="0.3">
      <c r="A3" s="7" t="s">
        <v>9</v>
      </c>
      <c r="B3" s="1" t="s">
        <v>128</v>
      </c>
      <c r="C3" s="1" t="s">
        <v>148</v>
      </c>
      <c r="D3" s="1" t="s">
        <v>152</v>
      </c>
      <c r="E3" s="1">
        <v>5</v>
      </c>
      <c r="F3" s="1">
        <v>45</v>
      </c>
      <c r="G3" s="1">
        <v>28</v>
      </c>
      <c r="H3" s="1">
        <v>225</v>
      </c>
      <c r="I3">
        <f t="shared" ref="I3:I66" si="0">H3-(G3*E3)</f>
        <v>85</v>
      </c>
      <c r="K3" s="5" t="s">
        <v>173</v>
      </c>
    </row>
    <row r="4" spans="1:11" x14ac:dyDescent="0.3">
      <c r="A4" s="7" t="s">
        <v>10</v>
      </c>
      <c r="B4" s="1" t="s">
        <v>129</v>
      </c>
      <c r="C4" s="1" t="s">
        <v>149</v>
      </c>
      <c r="D4" s="1" t="s">
        <v>153</v>
      </c>
      <c r="E4" s="1">
        <v>4</v>
      </c>
      <c r="F4" s="1">
        <v>12.5</v>
      </c>
      <c r="G4" s="1">
        <v>6.2</v>
      </c>
      <c r="H4" s="1">
        <v>50</v>
      </c>
      <c r="I4">
        <f t="shared" si="0"/>
        <v>25.2</v>
      </c>
      <c r="K4">
        <f>SUM(E2:E501)</f>
        <v>1462</v>
      </c>
    </row>
    <row r="5" spans="1:11" x14ac:dyDescent="0.3">
      <c r="A5" s="7" t="s">
        <v>11</v>
      </c>
      <c r="B5" s="1" t="s">
        <v>130</v>
      </c>
      <c r="C5" s="1" t="s">
        <v>148</v>
      </c>
      <c r="D5" s="1" t="s">
        <v>154</v>
      </c>
      <c r="E5" s="1">
        <v>1</v>
      </c>
      <c r="F5" s="1">
        <v>11.99</v>
      </c>
      <c r="G5" s="1">
        <v>5</v>
      </c>
      <c r="H5" s="1">
        <v>11.99</v>
      </c>
      <c r="I5">
        <f t="shared" si="0"/>
        <v>6.99</v>
      </c>
      <c r="K5" s="5" t="s">
        <v>174</v>
      </c>
    </row>
    <row r="6" spans="1:11" x14ac:dyDescent="0.3">
      <c r="A6" s="7" t="s">
        <v>12</v>
      </c>
      <c r="B6" s="1" t="s">
        <v>131</v>
      </c>
      <c r="C6" s="1" t="s">
        <v>150</v>
      </c>
      <c r="D6" s="1" t="s">
        <v>155</v>
      </c>
      <c r="E6" s="1">
        <v>1</v>
      </c>
      <c r="F6" s="1">
        <v>59.99</v>
      </c>
      <c r="G6" s="1">
        <v>35</v>
      </c>
      <c r="H6" s="1">
        <v>59.99</v>
      </c>
      <c r="I6">
        <f t="shared" si="0"/>
        <v>24.990000000000002</v>
      </c>
      <c r="K6">
        <f>SUM(I2:I501)</f>
        <v>24354.180000000008</v>
      </c>
    </row>
    <row r="7" spans="1:11" x14ac:dyDescent="0.3">
      <c r="A7" s="7" t="s">
        <v>13</v>
      </c>
      <c r="B7" s="1" t="s">
        <v>132</v>
      </c>
      <c r="C7" s="1" t="s">
        <v>149</v>
      </c>
      <c r="D7" s="1" t="s">
        <v>156</v>
      </c>
      <c r="E7" s="1">
        <v>4</v>
      </c>
      <c r="F7" s="1">
        <v>9.99</v>
      </c>
      <c r="G7" s="1">
        <v>4.5</v>
      </c>
      <c r="H7" s="1">
        <v>39.96</v>
      </c>
      <c r="I7">
        <f t="shared" si="0"/>
        <v>21.96</v>
      </c>
      <c r="K7" s="5" t="s">
        <v>175</v>
      </c>
    </row>
    <row r="8" spans="1:11" x14ac:dyDescent="0.3">
      <c r="A8" s="7" t="s">
        <v>14</v>
      </c>
      <c r="B8" s="1" t="s">
        <v>133</v>
      </c>
      <c r="C8" s="1" t="s">
        <v>150</v>
      </c>
      <c r="D8" s="1" t="s">
        <v>157</v>
      </c>
      <c r="E8" s="1">
        <v>2</v>
      </c>
      <c r="F8" s="1">
        <v>120</v>
      </c>
      <c r="G8" s="1">
        <v>80</v>
      </c>
      <c r="H8" s="1">
        <v>240</v>
      </c>
      <c r="I8">
        <f t="shared" si="0"/>
        <v>80</v>
      </c>
      <c r="J8" s="10"/>
      <c r="K8">
        <f>AVERAGE(H2:H501)</f>
        <v>130.97835999999995</v>
      </c>
    </row>
    <row r="9" spans="1:11" x14ac:dyDescent="0.3">
      <c r="A9" s="7" t="s">
        <v>15</v>
      </c>
      <c r="B9" s="1" t="s">
        <v>134</v>
      </c>
      <c r="C9" s="1" t="s">
        <v>149</v>
      </c>
      <c r="D9" s="1" t="s">
        <v>158</v>
      </c>
      <c r="E9" s="1">
        <v>2</v>
      </c>
      <c r="F9" s="1">
        <v>20</v>
      </c>
      <c r="G9" s="1">
        <v>12</v>
      </c>
      <c r="H9" s="1">
        <v>40</v>
      </c>
      <c r="I9">
        <f t="shared" si="0"/>
        <v>16</v>
      </c>
    </row>
    <row r="10" spans="1:11" x14ac:dyDescent="0.3">
      <c r="A10" s="7" t="s">
        <v>16</v>
      </c>
      <c r="B10" s="1" t="s">
        <v>135</v>
      </c>
      <c r="C10" s="1" t="s">
        <v>147</v>
      </c>
      <c r="D10" s="1" t="s">
        <v>156</v>
      </c>
      <c r="E10" s="1">
        <v>5</v>
      </c>
      <c r="F10" s="1">
        <v>9.99</v>
      </c>
      <c r="G10" s="1">
        <v>4.5</v>
      </c>
      <c r="H10" s="1">
        <v>49.95</v>
      </c>
      <c r="I10">
        <f t="shared" si="0"/>
        <v>27.450000000000003</v>
      </c>
    </row>
    <row r="11" spans="1:11" x14ac:dyDescent="0.3">
      <c r="A11" s="7" t="s">
        <v>11</v>
      </c>
      <c r="B11" s="1" t="s">
        <v>136</v>
      </c>
      <c r="C11" s="1" t="s">
        <v>149</v>
      </c>
      <c r="D11" s="1" t="s">
        <v>159</v>
      </c>
      <c r="E11" s="1">
        <v>3</v>
      </c>
      <c r="F11" s="1">
        <v>145</v>
      </c>
      <c r="G11" s="1">
        <v>100</v>
      </c>
      <c r="H11" s="1">
        <v>435</v>
      </c>
      <c r="I11">
        <f t="shared" si="0"/>
        <v>135</v>
      </c>
    </row>
    <row r="12" spans="1:11" x14ac:dyDescent="0.3">
      <c r="A12" s="7" t="s">
        <v>17</v>
      </c>
      <c r="B12" s="1" t="s">
        <v>137</v>
      </c>
      <c r="C12" s="1" t="s">
        <v>148</v>
      </c>
      <c r="D12" s="1" t="s">
        <v>156</v>
      </c>
      <c r="E12" s="1">
        <v>5</v>
      </c>
      <c r="F12" s="1">
        <v>9.99</v>
      </c>
      <c r="G12" s="1">
        <v>4.5</v>
      </c>
      <c r="H12" s="1">
        <v>49.95</v>
      </c>
      <c r="I12">
        <f t="shared" si="0"/>
        <v>27.450000000000003</v>
      </c>
    </row>
    <row r="13" spans="1:11" x14ac:dyDescent="0.3">
      <c r="A13" s="7" t="s">
        <v>18</v>
      </c>
      <c r="B13" s="1" t="s">
        <v>138</v>
      </c>
      <c r="C13" s="1" t="s">
        <v>147</v>
      </c>
      <c r="D13" s="1" t="s">
        <v>151</v>
      </c>
      <c r="E13" s="1">
        <v>2</v>
      </c>
      <c r="F13" s="1">
        <v>22.99</v>
      </c>
      <c r="G13" s="1">
        <v>14</v>
      </c>
      <c r="H13" s="1">
        <v>45.98</v>
      </c>
      <c r="I13">
        <f t="shared" si="0"/>
        <v>17.979999999999997</v>
      </c>
    </row>
    <row r="14" spans="1:11" x14ac:dyDescent="0.3">
      <c r="A14" s="7" t="s">
        <v>19</v>
      </c>
      <c r="B14" s="1" t="s">
        <v>139</v>
      </c>
      <c r="C14" s="1" t="s">
        <v>148</v>
      </c>
      <c r="D14" s="1" t="s">
        <v>160</v>
      </c>
      <c r="E14" s="1">
        <v>4</v>
      </c>
      <c r="F14" s="1">
        <v>3.5</v>
      </c>
      <c r="G14" s="1">
        <v>1.2</v>
      </c>
      <c r="H14" s="1">
        <v>14</v>
      </c>
      <c r="I14">
        <f t="shared" si="0"/>
        <v>9.1999999999999993</v>
      </c>
    </row>
    <row r="15" spans="1:11" x14ac:dyDescent="0.3">
      <c r="A15" s="7" t="s">
        <v>20</v>
      </c>
      <c r="B15" s="1" t="s">
        <v>140</v>
      </c>
      <c r="C15" s="1" t="s">
        <v>149</v>
      </c>
      <c r="D15" s="1" t="s">
        <v>161</v>
      </c>
      <c r="E15" s="1">
        <v>2</v>
      </c>
      <c r="F15" s="1">
        <v>79.989999999999995</v>
      </c>
      <c r="G15" s="1">
        <v>50</v>
      </c>
      <c r="H15" s="1">
        <v>159.97999999999999</v>
      </c>
      <c r="I15">
        <f t="shared" si="0"/>
        <v>59.97999999999999</v>
      </c>
    </row>
    <row r="16" spans="1:11" x14ac:dyDescent="0.3">
      <c r="A16" s="7" t="s">
        <v>21</v>
      </c>
      <c r="B16" s="1" t="s">
        <v>141</v>
      </c>
      <c r="C16" s="1" t="s">
        <v>149</v>
      </c>
      <c r="D16" s="1" t="s">
        <v>161</v>
      </c>
      <c r="E16" s="1">
        <v>2</v>
      </c>
      <c r="F16" s="1">
        <v>79.989999999999995</v>
      </c>
      <c r="G16" s="1">
        <v>50</v>
      </c>
      <c r="H16" s="1">
        <v>159.97999999999999</v>
      </c>
      <c r="I16">
        <f t="shared" si="0"/>
        <v>59.97999999999999</v>
      </c>
    </row>
    <row r="17" spans="1:9" x14ac:dyDescent="0.3">
      <c r="A17" s="7" t="s">
        <v>22</v>
      </c>
      <c r="B17" s="1" t="s">
        <v>142</v>
      </c>
      <c r="C17" s="1" t="s">
        <v>150</v>
      </c>
      <c r="D17" s="1" t="s">
        <v>152</v>
      </c>
      <c r="E17" s="1">
        <v>2</v>
      </c>
      <c r="F17" s="1">
        <v>45</v>
      </c>
      <c r="G17" s="1">
        <v>28</v>
      </c>
      <c r="H17" s="1">
        <v>90</v>
      </c>
      <c r="I17">
        <f t="shared" si="0"/>
        <v>34</v>
      </c>
    </row>
    <row r="18" spans="1:9" x14ac:dyDescent="0.3">
      <c r="A18" s="7" t="s">
        <v>23</v>
      </c>
      <c r="B18" s="1" t="s">
        <v>143</v>
      </c>
      <c r="C18" s="1" t="s">
        <v>148</v>
      </c>
      <c r="D18" s="1" t="s">
        <v>151</v>
      </c>
      <c r="E18" s="1">
        <v>3</v>
      </c>
      <c r="F18" s="1">
        <v>22.99</v>
      </c>
      <c r="G18" s="1">
        <v>14</v>
      </c>
      <c r="H18" s="1">
        <v>68.97</v>
      </c>
      <c r="I18">
        <f t="shared" si="0"/>
        <v>26.97</v>
      </c>
    </row>
    <row r="19" spans="1:9" x14ac:dyDescent="0.3">
      <c r="A19" s="7" t="s">
        <v>24</v>
      </c>
      <c r="B19" s="1" t="s">
        <v>144</v>
      </c>
      <c r="C19" s="1" t="s">
        <v>147</v>
      </c>
      <c r="D19" s="1" t="s">
        <v>162</v>
      </c>
      <c r="E19" s="1">
        <v>1</v>
      </c>
      <c r="F19" s="1">
        <v>34.99</v>
      </c>
      <c r="G19" s="1">
        <v>18</v>
      </c>
      <c r="H19" s="1">
        <v>34.99</v>
      </c>
      <c r="I19">
        <f t="shared" si="0"/>
        <v>16.990000000000002</v>
      </c>
    </row>
    <row r="20" spans="1:9" x14ac:dyDescent="0.3">
      <c r="A20" s="7" t="s">
        <v>25</v>
      </c>
      <c r="B20" s="1" t="s">
        <v>145</v>
      </c>
      <c r="C20" s="1" t="s">
        <v>147</v>
      </c>
      <c r="D20" s="1" t="s">
        <v>157</v>
      </c>
      <c r="E20" s="1">
        <v>1</v>
      </c>
      <c r="F20" s="1">
        <v>120</v>
      </c>
      <c r="G20" s="1">
        <v>80</v>
      </c>
      <c r="H20" s="1">
        <v>120</v>
      </c>
      <c r="I20">
        <f t="shared" si="0"/>
        <v>40</v>
      </c>
    </row>
    <row r="21" spans="1:9" x14ac:dyDescent="0.3">
      <c r="A21" s="7" t="s">
        <v>26</v>
      </c>
      <c r="B21" s="1" t="s">
        <v>146</v>
      </c>
      <c r="C21" s="1" t="s">
        <v>147</v>
      </c>
      <c r="D21" s="1" t="s">
        <v>158</v>
      </c>
      <c r="E21" s="1">
        <v>5</v>
      </c>
      <c r="F21" s="1">
        <v>20</v>
      </c>
      <c r="G21" s="1">
        <v>12</v>
      </c>
      <c r="H21" s="1">
        <v>100</v>
      </c>
      <c r="I21">
        <f t="shared" si="0"/>
        <v>40</v>
      </c>
    </row>
    <row r="22" spans="1:9" x14ac:dyDescent="0.3">
      <c r="A22" s="7" t="s">
        <v>27</v>
      </c>
      <c r="B22" s="1" t="s">
        <v>127</v>
      </c>
      <c r="C22" s="1" t="s">
        <v>149</v>
      </c>
      <c r="D22" s="1" t="s">
        <v>163</v>
      </c>
      <c r="E22" s="1">
        <v>3</v>
      </c>
      <c r="F22" s="1">
        <v>14.99</v>
      </c>
      <c r="G22" s="1">
        <v>8</v>
      </c>
      <c r="H22" s="1">
        <v>44.97</v>
      </c>
      <c r="I22">
        <f t="shared" si="0"/>
        <v>20.97</v>
      </c>
    </row>
    <row r="23" spans="1:9" x14ac:dyDescent="0.3">
      <c r="A23" s="7" t="s">
        <v>28</v>
      </c>
      <c r="B23" s="1" t="s">
        <v>128</v>
      </c>
      <c r="C23" s="1" t="s">
        <v>147</v>
      </c>
      <c r="D23" s="1" t="s">
        <v>164</v>
      </c>
      <c r="E23" s="1">
        <v>4</v>
      </c>
      <c r="F23" s="1">
        <v>39.99</v>
      </c>
      <c r="G23" s="1">
        <v>22</v>
      </c>
      <c r="H23" s="1">
        <v>159.96</v>
      </c>
      <c r="I23">
        <f t="shared" si="0"/>
        <v>71.960000000000008</v>
      </c>
    </row>
    <row r="24" spans="1:9" x14ac:dyDescent="0.3">
      <c r="A24" s="7" t="s">
        <v>29</v>
      </c>
      <c r="B24" s="1" t="s">
        <v>129</v>
      </c>
      <c r="C24" s="1" t="s">
        <v>148</v>
      </c>
      <c r="D24" s="1" t="s">
        <v>165</v>
      </c>
      <c r="E24" s="1">
        <v>1</v>
      </c>
      <c r="F24" s="1">
        <v>18</v>
      </c>
      <c r="G24" s="1">
        <v>9</v>
      </c>
      <c r="H24" s="1">
        <v>18</v>
      </c>
      <c r="I24">
        <f t="shared" si="0"/>
        <v>9</v>
      </c>
    </row>
    <row r="25" spans="1:9" x14ac:dyDescent="0.3">
      <c r="A25" s="7" t="s">
        <v>30</v>
      </c>
      <c r="B25" s="1" t="s">
        <v>130</v>
      </c>
      <c r="C25" s="1" t="s">
        <v>147</v>
      </c>
      <c r="D25" s="1" t="s">
        <v>166</v>
      </c>
      <c r="E25" s="1">
        <v>4</v>
      </c>
      <c r="F25" s="1">
        <v>25</v>
      </c>
      <c r="G25" s="1">
        <v>12</v>
      </c>
      <c r="H25" s="1">
        <v>100</v>
      </c>
      <c r="I25">
        <f t="shared" si="0"/>
        <v>52</v>
      </c>
    </row>
    <row r="26" spans="1:9" x14ac:dyDescent="0.3">
      <c r="A26" s="7" t="s">
        <v>9</v>
      </c>
      <c r="B26" s="1" t="s">
        <v>131</v>
      </c>
      <c r="C26" s="1" t="s">
        <v>148</v>
      </c>
      <c r="D26" s="1" t="s">
        <v>161</v>
      </c>
      <c r="E26" s="1">
        <v>4</v>
      </c>
      <c r="F26" s="1">
        <v>79.989999999999995</v>
      </c>
      <c r="G26" s="1">
        <v>50</v>
      </c>
      <c r="H26" s="1">
        <v>319.95999999999998</v>
      </c>
      <c r="I26">
        <f t="shared" si="0"/>
        <v>119.95999999999998</v>
      </c>
    </row>
    <row r="27" spans="1:9" x14ac:dyDescent="0.3">
      <c r="A27" s="7" t="s">
        <v>31</v>
      </c>
      <c r="B27" s="1" t="s">
        <v>132</v>
      </c>
      <c r="C27" s="1" t="s">
        <v>148</v>
      </c>
      <c r="D27" s="1" t="s">
        <v>157</v>
      </c>
      <c r="E27" s="1">
        <v>2</v>
      </c>
      <c r="F27" s="1">
        <v>120</v>
      </c>
      <c r="G27" s="1">
        <v>80</v>
      </c>
      <c r="H27" s="1">
        <v>240</v>
      </c>
      <c r="I27">
        <f t="shared" si="0"/>
        <v>80</v>
      </c>
    </row>
    <row r="28" spans="1:9" x14ac:dyDescent="0.3">
      <c r="A28" s="7" t="s">
        <v>32</v>
      </c>
      <c r="B28" s="1" t="s">
        <v>133</v>
      </c>
      <c r="C28" s="1" t="s">
        <v>148</v>
      </c>
      <c r="D28" s="1" t="s">
        <v>151</v>
      </c>
      <c r="E28" s="1">
        <v>1</v>
      </c>
      <c r="F28" s="1">
        <v>22.99</v>
      </c>
      <c r="G28" s="1">
        <v>14</v>
      </c>
      <c r="H28" s="1">
        <v>22.99</v>
      </c>
      <c r="I28">
        <f t="shared" si="0"/>
        <v>8.9899999999999984</v>
      </c>
    </row>
    <row r="29" spans="1:9" x14ac:dyDescent="0.3">
      <c r="A29" s="7" t="s">
        <v>33</v>
      </c>
      <c r="B29" s="1" t="s">
        <v>134</v>
      </c>
      <c r="C29" s="1" t="s">
        <v>148</v>
      </c>
      <c r="D29" s="1" t="s">
        <v>165</v>
      </c>
      <c r="E29" s="1">
        <v>4</v>
      </c>
      <c r="F29" s="1">
        <v>18</v>
      </c>
      <c r="G29" s="1">
        <v>9</v>
      </c>
      <c r="H29" s="1">
        <v>72</v>
      </c>
      <c r="I29">
        <f t="shared" si="0"/>
        <v>36</v>
      </c>
    </row>
    <row r="30" spans="1:9" x14ac:dyDescent="0.3">
      <c r="A30" s="7" t="s">
        <v>34</v>
      </c>
      <c r="B30" s="1" t="s">
        <v>135</v>
      </c>
      <c r="C30" s="1" t="s">
        <v>149</v>
      </c>
      <c r="D30" s="1" t="s">
        <v>156</v>
      </c>
      <c r="E30" s="1">
        <v>1</v>
      </c>
      <c r="F30" s="1">
        <v>9.99</v>
      </c>
      <c r="G30" s="1">
        <v>4.5</v>
      </c>
      <c r="H30" s="1">
        <v>9.99</v>
      </c>
      <c r="I30">
        <f t="shared" si="0"/>
        <v>5.49</v>
      </c>
    </row>
    <row r="31" spans="1:9" x14ac:dyDescent="0.3">
      <c r="A31" s="7" t="s">
        <v>35</v>
      </c>
      <c r="B31" s="1" t="s">
        <v>136</v>
      </c>
      <c r="C31" s="1" t="s">
        <v>147</v>
      </c>
      <c r="D31" s="1" t="s">
        <v>167</v>
      </c>
      <c r="E31" s="1">
        <v>5</v>
      </c>
      <c r="F31" s="1">
        <v>89.99</v>
      </c>
      <c r="G31" s="1">
        <v>60</v>
      </c>
      <c r="H31" s="1">
        <v>449.95</v>
      </c>
      <c r="I31">
        <f t="shared" si="0"/>
        <v>149.94999999999999</v>
      </c>
    </row>
    <row r="32" spans="1:9" x14ac:dyDescent="0.3">
      <c r="A32" s="7" t="s">
        <v>36</v>
      </c>
      <c r="B32" s="1" t="s">
        <v>137</v>
      </c>
      <c r="C32" s="1" t="s">
        <v>150</v>
      </c>
      <c r="D32" s="1" t="s">
        <v>168</v>
      </c>
      <c r="E32" s="1">
        <v>4</v>
      </c>
      <c r="F32" s="1">
        <v>129.99</v>
      </c>
      <c r="G32" s="1">
        <v>95</v>
      </c>
      <c r="H32" s="1">
        <v>519.96</v>
      </c>
      <c r="I32">
        <f t="shared" si="0"/>
        <v>139.96000000000004</v>
      </c>
    </row>
    <row r="33" spans="1:9" x14ac:dyDescent="0.3">
      <c r="A33" s="7" t="s">
        <v>10</v>
      </c>
      <c r="B33" s="1" t="s">
        <v>138</v>
      </c>
      <c r="C33" s="1" t="s">
        <v>147</v>
      </c>
      <c r="D33" s="1" t="s">
        <v>158</v>
      </c>
      <c r="E33" s="1">
        <v>2</v>
      </c>
      <c r="F33" s="1">
        <v>20</v>
      </c>
      <c r="G33" s="1">
        <v>12</v>
      </c>
      <c r="H33" s="1">
        <v>40</v>
      </c>
      <c r="I33">
        <f t="shared" si="0"/>
        <v>16</v>
      </c>
    </row>
    <row r="34" spans="1:9" x14ac:dyDescent="0.3">
      <c r="A34" s="7" t="s">
        <v>35</v>
      </c>
      <c r="B34" s="1" t="s">
        <v>139</v>
      </c>
      <c r="C34" s="1" t="s">
        <v>149</v>
      </c>
      <c r="D34" s="1" t="s">
        <v>152</v>
      </c>
      <c r="E34" s="1">
        <v>2</v>
      </c>
      <c r="F34" s="1">
        <v>45</v>
      </c>
      <c r="G34" s="1">
        <v>28</v>
      </c>
      <c r="H34" s="1">
        <v>90</v>
      </c>
      <c r="I34">
        <f t="shared" si="0"/>
        <v>34</v>
      </c>
    </row>
    <row r="35" spans="1:9" x14ac:dyDescent="0.3">
      <c r="A35" s="7" t="s">
        <v>37</v>
      </c>
      <c r="B35" s="1" t="s">
        <v>140</v>
      </c>
      <c r="C35" s="1" t="s">
        <v>148</v>
      </c>
      <c r="D35" s="1" t="s">
        <v>161</v>
      </c>
      <c r="E35" s="1">
        <v>2</v>
      </c>
      <c r="F35" s="1">
        <v>79.989999999999995</v>
      </c>
      <c r="G35" s="1">
        <v>50</v>
      </c>
      <c r="H35" s="1">
        <v>159.97999999999999</v>
      </c>
      <c r="I35">
        <f t="shared" si="0"/>
        <v>59.97999999999999</v>
      </c>
    </row>
    <row r="36" spans="1:9" x14ac:dyDescent="0.3">
      <c r="A36" s="7" t="s">
        <v>38</v>
      </c>
      <c r="B36" s="1" t="s">
        <v>141</v>
      </c>
      <c r="C36" s="1" t="s">
        <v>150</v>
      </c>
      <c r="D36" s="1" t="s">
        <v>157</v>
      </c>
      <c r="E36" s="1">
        <v>5</v>
      </c>
      <c r="F36" s="1">
        <v>120</v>
      </c>
      <c r="G36" s="1">
        <v>80</v>
      </c>
      <c r="H36" s="1">
        <v>600</v>
      </c>
      <c r="I36">
        <f t="shared" si="0"/>
        <v>200</v>
      </c>
    </row>
    <row r="37" spans="1:9" x14ac:dyDescent="0.3">
      <c r="A37" s="7" t="s">
        <v>39</v>
      </c>
      <c r="B37" s="1" t="s">
        <v>142</v>
      </c>
      <c r="C37" s="1" t="s">
        <v>150</v>
      </c>
      <c r="D37" s="1" t="s">
        <v>163</v>
      </c>
      <c r="E37" s="1">
        <v>5</v>
      </c>
      <c r="F37" s="1">
        <v>14.99</v>
      </c>
      <c r="G37" s="1">
        <v>8</v>
      </c>
      <c r="H37" s="1">
        <v>74.95</v>
      </c>
      <c r="I37">
        <f t="shared" si="0"/>
        <v>34.950000000000003</v>
      </c>
    </row>
    <row r="38" spans="1:9" x14ac:dyDescent="0.3">
      <c r="A38" s="7" t="s">
        <v>40</v>
      </c>
      <c r="B38" s="1" t="s">
        <v>143</v>
      </c>
      <c r="C38" s="1" t="s">
        <v>147</v>
      </c>
      <c r="D38" s="1" t="s">
        <v>161</v>
      </c>
      <c r="E38" s="1">
        <v>4</v>
      </c>
      <c r="F38" s="1">
        <v>79.989999999999995</v>
      </c>
      <c r="G38" s="1">
        <v>50</v>
      </c>
      <c r="H38" s="1">
        <v>319.95999999999998</v>
      </c>
      <c r="I38">
        <f t="shared" si="0"/>
        <v>119.95999999999998</v>
      </c>
    </row>
    <row r="39" spans="1:9" x14ac:dyDescent="0.3">
      <c r="A39" s="7" t="s">
        <v>41</v>
      </c>
      <c r="B39" s="1" t="s">
        <v>144</v>
      </c>
      <c r="C39" s="1" t="s">
        <v>150</v>
      </c>
      <c r="D39" s="1" t="s">
        <v>165</v>
      </c>
      <c r="E39" s="1">
        <v>1</v>
      </c>
      <c r="F39" s="1">
        <v>18</v>
      </c>
      <c r="G39" s="1">
        <v>9</v>
      </c>
      <c r="H39" s="1">
        <v>18</v>
      </c>
      <c r="I39">
        <f t="shared" si="0"/>
        <v>9</v>
      </c>
    </row>
    <row r="40" spans="1:9" x14ac:dyDescent="0.3">
      <c r="A40" s="7" t="s">
        <v>42</v>
      </c>
      <c r="B40" s="1" t="s">
        <v>145</v>
      </c>
      <c r="C40" s="1" t="s">
        <v>149</v>
      </c>
      <c r="D40" s="1" t="s">
        <v>162</v>
      </c>
      <c r="E40" s="1">
        <v>5</v>
      </c>
      <c r="F40" s="1">
        <v>34.99</v>
      </c>
      <c r="G40" s="1">
        <v>18</v>
      </c>
      <c r="H40" s="1">
        <v>174.95</v>
      </c>
      <c r="I40">
        <f t="shared" si="0"/>
        <v>84.949999999999989</v>
      </c>
    </row>
    <row r="41" spans="1:9" x14ac:dyDescent="0.3">
      <c r="A41" s="7" t="s">
        <v>43</v>
      </c>
      <c r="B41" s="1" t="s">
        <v>146</v>
      </c>
      <c r="C41" s="1" t="s">
        <v>147</v>
      </c>
      <c r="D41" s="1" t="s">
        <v>164</v>
      </c>
      <c r="E41" s="1">
        <v>2</v>
      </c>
      <c r="F41" s="1">
        <v>39.99</v>
      </c>
      <c r="G41" s="1">
        <v>22</v>
      </c>
      <c r="H41" s="1">
        <v>79.98</v>
      </c>
      <c r="I41">
        <f t="shared" si="0"/>
        <v>35.980000000000004</v>
      </c>
    </row>
    <row r="42" spans="1:9" x14ac:dyDescent="0.3">
      <c r="A42" s="7" t="s">
        <v>44</v>
      </c>
      <c r="B42" s="1" t="s">
        <v>127</v>
      </c>
      <c r="C42" s="1" t="s">
        <v>147</v>
      </c>
      <c r="D42" s="1" t="s">
        <v>154</v>
      </c>
      <c r="E42" s="1">
        <v>3</v>
      </c>
      <c r="F42" s="1">
        <v>11.99</v>
      </c>
      <c r="G42" s="1">
        <v>5</v>
      </c>
      <c r="H42" s="1">
        <v>35.97</v>
      </c>
      <c r="I42">
        <f t="shared" si="0"/>
        <v>20.97</v>
      </c>
    </row>
    <row r="43" spans="1:9" x14ac:dyDescent="0.3">
      <c r="A43" s="7" t="s">
        <v>24</v>
      </c>
      <c r="B43" s="1" t="s">
        <v>128</v>
      </c>
      <c r="C43" s="1" t="s">
        <v>149</v>
      </c>
      <c r="D43" s="1" t="s">
        <v>165</v>
      </c>
      <c r="E43" s="1">
        <v>1</v>
      </c>
      <c r="F43" s="1">
        <v>18</v>
      </c>
      <c r="G43" s="1">
        <v>9</v>
      </c>
      <c r="H43" s="1">
        <v>18</v>
      </c>
      <c r="I43">
        <f t="shared" si="0"/>
        <v>9</v>
      </c>
    </row>
    <row r="44" spans="1:9" x14ac:dyDescent="0.3">
      <c r="A44" s="7" t="s">
        <v>45</v>
      </c>
      <c r="B44" s="1" t="s">
        <v>129</v>
      </c>
      <c r="C44" s="1" t="s">
        <v>147</v>
      </c>
      <c r="D44" s="1" t="s">
        <v>158</v>
      </c>
      <c r="E44" s="1">
        <v>3</v>
      </c>
      <c r="F44" s="1">
        <v>20</v>
      </c>
      <c r="G44" s="1">
        <v>12</v>
      </c>
      <c r="H44" s="1">
        <v>60</v>
      </c>
      <c r="I44">
        <f t="shared" si="0"/>
        <v>24</v>
      </c>
    </row>
    <row r="45" spans="1:9" x14ac:dyDescent="0.3">
      <c r="A45" s="7" t="s">
        <v>46</v>
      </c>
      <c r="B45" s="1" t="s">
        <v>130</v>
      </c>
      <c r="C45" s="1" t="s">
        <v>150</v>
      </c>
      <c r="D45" s="1" t="s">
        <v>155</v>
      </c>
      <c r="E45" s="1">
        <v>5</v>
      </c>
      <c r="F45" s="1">
        <v>59.99</v>
      </c>
      <c r="G45" s="1">
        <v>35</v>
      </c>
      <c r="H45" s="1">
        <v>299.95</v>
      </c>
      <c r="I45">
        <f t="shared" si="0"/>
        <v>124.94999999999999</v>
      </c>
    </row>
    <row r="46" spans="1:9" x14ac:dyDescent="0.3">
      <c r="A46" s="7" t="s">
        <v>47</v>
      </c>
      <c r="B46" s="1" t="s">
        <v>131</v>
      </c>
      <c r="C46" s="1" t="s">
        <v>148</v>
      </c>
      <c r="D46" s="1" t="s">
        <v>162</v>
      </c>
      <c r="E46" s="1">
        <v>1</v>
      </c>
      <c r="F46" s="1">
        <v>34.99</v>
      </c>
      <c r="G46" s="1">
        <v>18</v>
      </c>
      <c r="H46" s="1">
        <v>34.99</v>
      </c>
      <c r="I46">
        <f t="shared" si="0"/>
        <v>16.990000000000002</v>
      </c>
    </row>
    <row r="47" spans="1:9" x14ac:dyDescent="0.3">
      <c r="A47" s="7" t="s">
        <v>48</v>
      </c>
      <c r="B47" s="1" t="s">
        <v>132</v>
      </c>
      <c r="C47" s="1" t="s">
        <v>150</v>
      </c>
      <c r="D47" s="1" t="s">
        <v>158</v>
      </c>
      <c r="E47" s="1">
        <v>1</v>
      </c>
      <c r="F47" s="1">
        <v>20</v>
      </c>
      <c r="G47" s="1">
        <v>12</v>
      </c>
      <c r="H47" s="1">
        <v>20</v>
      </c>
      <c r="I47">
        <f t="shared" si="0"/>
        <v>8</v>
      </c>
    </row>
    <row r="48" spans="1:9" x14ac:dyDescent="0.3">
      <c r="A48" s="7" t="s">
        <v>49</v>
      </c>
      <c r="B48" s="1" t="s">
        <v>133</v>
      </c>
      <c r="C48" s="1" t="s">
        <v>150</v>
      </c>
      <c r="D48" s="1" t="s">
        <v>159</v>
      </c>
      <c r="E48" s="1">
        <v>2</v>
      </c>
      <c r="F48" s="1">
        <v>145</v>
      </c>
      <c r="G48" s="1">
        <v>100</v>
      </c>
      <c r="H48" s="1">
        <v>290</v>
      </c>
      <c r="I48">
        <f t="shared" si="0"/>
        <v>90</v>
      </c>
    </row>
    <row r="49" spans="1:9" x14ac:dyDescent="0.3">
      <c r="A49" s="7" t="s">
        <v>47</v>
      </c>
      <c r="B49" s="1" t="s">
        <v>134</v>
      </c>
      <c r="C49" s="1" t="s">
        <v>150</v>
      </c>
      <c r="D49" s="1" t="s">
        <v>157</v>
      </c>
      <c r="E49" s="1">
        <v>4</v>
      </c>
      <c r="F49" s="1">
        <v>120</v>
      </c>
      <c r="G49" s="1">
        <v>80</v>
      </c>
      <c r="H49" s="1">
        <v>480</v>
      </c>
      <c r="I49">
        <f t="shared" si="0"/>
        <v>160</v>
      </c>
    </row>
    <row r="50" spans="1:9" x14ac:dyDescent="0.3">
      <c r="A50" s="7" t="s">
        <v>50</v>
      </c>
      <c r="B50" s="1" t="s">
        <v>135</v>
      </c>
      <c r="C50" s="1" t="s">
        <v>147</v>
      </c>
      <c r="D50" s="1" t="s">
        <v>163</v>
      </c>
      <c r="E50" s="1">
        <v>3</v>
      </c>
      <c r="F50" s="1">
        <v>14.99</v>
      </c>
      <c r="G50" s="1">
        <v>8</v>
      </c>
      <c r="H50" s="1">
        <v>44.97</v>
      </c>
      <c r="I50">
        <f t="shared" si="0"/>
        <v>20.97</v>
      </c>
    </row>
    <row r="51" spans="1:9" x14ac:dyDescent="0.3">
      <c r="A51" s="7" t="s">
        <v>45</v>
      </c>
      <c r="B51" s="1" t="s">
        <v>136</v>
      </c>
      <c r="C51" s="1" t="s">
        <v>149</v>
      </c>
      <c r="D51" s="1" t="s">
        <v>158</v>
      </c>
      <c r="E51" s="1">
        <v>5</v>
      </c>
      <c r="F51" s="1">
        <v>20</v>
      </c>
      <c r="G51" s="1">
        <v>12</v>
      </c>
      <c r="H51" s="1">
        <v>100</v>
      </c>
      <c r="I51">
        <f t="shared" si="0"/>
        <v>40</v>
      </c>
    </row>
    <row r="52" spans="1:9" x14ac:dyDescent="0.3">
      <c r="A52" s="7" t="s">
        <v>49</v>
      </c>
      <c r="B52" s="1" t="s">
        <v>137</v>
      </c>
      <c r="C52" s="1" t="s">
        <v>150</v>
      </c>
      <c r="D52" s="1" t="s">
        <v>163</v>
      </c>
      <c r="E52" s="1">
        <v>5</v>
      </c>
      <c r="F52" s="1">
        <v>14.99</v>
      </c>
      <c r="G52" s="1">
        <v>8</v>
      </c>
      <c r="H52" s="1">
        <v>74.95</v>
      </c>
      <c r="I52">
        <f t="shared" si="0"/>
        <v>34.950000000000003</v>
      </c>
    </row>
    <row r="53" spans="1:9" x14ac:dyDescent="0.3">
      <c r="A53" s="7" t="s">
        <v>39</v>
      </c>
      <c r="B53" s="1" t="s">
        <v>138</v>
      </c>
      <c r="C53" s="1" t="s">
        <v>150</v>
      </c>
      <c r="D53" s="1" t="s">
        <v>153</v>
      </c>
      <c r="E53" s="1">
        <v>2</v>
      </c>
      <c r="F53" s="1">
        <v>12.5</v>
      </c>
      <c r="G53" s="1">
        <v>6.2</v>
      </c>
      <c r="H53" s="1">
        <v>25</v>
      </c>
      <c r="I53">
        <f t="shared" si="0"/>
        <v>12.6</v>
      </c>
    </row>
    <row r="54" spans="1:9" x14ac:dyDescent="0.3">
      <c r="A54" s="7" t="s">
        <v>51</v>
      </c>
      <c r="B54" s="1" t="s">
        <v>139</v>
      </c>
      <c r="C54" s="1" t="s">
        <v>148</v>
      </c>
      <c r="D54" s="1" t="s">
        <v>155</v>
      </c>
      <c r="E54" s="1">
        <v>2</v>
      </c>
      <c r="F54" s="1">
        <v>59.99</v>
      </c>
      <c r="G54" s="1">
        <v>35</v>
      </c>
      <c r="H54" s="1">
        <v>119.98</v>
      </c>
      <c r="I54">
        <f t="shared" si="0"/>
        <v>49.980000000000004</v>
      </c>
    </row>
    <row r="55" spans="1:9" x14ac:dyDescent="0.3">
      <c r="A55" s="7" t="s">
        <v>52</v>
      </c>
      <c r="B55" s="1" t="s">
        <v>140</v>
      </c>
      <c r="C55" s="1" t="s">
        <v>150</v>
      </c>
      <c r="D55" s="1" t="s">
        <v>160</v>
      </c>
      <c r="E55" s="1">
        <v>4</v>
      </c>
      <c r="F55" s="1">
        <v>3.5</v>
      </c>
      <c r="G55" s="1">
        <v>1.2</v>
      </c>
      <c r="H55" s="1">
        <v>14</v>
      </c>
      <c r="I55">
        <f t="shared" si="0"/>
        <v>9.1999999999999993</v>
      </c>
    </row>
    <row r="56" spans="1:9" x14ac:dyDescent="0.3">
      <c r="A56" s="7" t="s">
        <v>53</v>
      </c>
      <c r="B56" s="1" t="s">
        <v>141</v>
      </c>
      <c r="C56" s="1" t="s">
        <v>147</v>
      </c>
      <c r="D56" s="1" t="s">
        <v>155</v>
      </c>
      <c r="E56" s="1">
        <v>4</v>
      </c>
      <c r="F56" s="1">
        <v>59.99</v>
      </c>
      <c r="G56" s="1">
        <v>35</v>
      </c>
      <c r="H56" s="1">
        <v>239.96</v>
      </c>
      <c r="I56">
        <f t="shared" si="0"/>
        <v>99.960000000000008</v>
      </c>
    </row>
    <row r="57" spans="1:9" x14ac:dyDescent="0.3">
      <c r="A57" s="7" t="s">
        <v>54</v>
      </c>
      <c r="B57" s="1" t="s">
        <v>142</v>
      </c>
      <c r="C57" s="1" t="s">
        <v>148</v>
      </c>
      <c r="D57" s="1" t="s">
        <v>169</v>
      </c>
      <c r="E57" s="1">
        <v>5</v>
      </c>
      <c r="F57" s="1">
        <v>15.99</v>
      </c>
      <c r="G57" s="1">
        <v>9</v>
      </c>
      <c r="H57" s="1">
        <v>79.95</v>
      </c>
      <c r="I57">
        <f t="shared" si="0"/>
        <v>34.950000000000003</v>
      </c>
    </row>
    <row r="58" spans="1:9" x14ac:dyDescent="0.3">
      <c r="A58" s="7" t="s">
        <v>55</v>
      </c>
      <c r="B58" s="1" t="s">
        <v>143</v>
      </c>
      <c r="C58" s="1" t="s">
        <v>149</v>
      </c>
      <c r="D58" s="1" t="s">
        <v>170</v>
      </c>
      <c r="E58" s="1">
        <v>2</v>
      </c>
      <c r="F58" s="1">
        <v>2.99</v>
      </c>
      <c r="G58" s="1">
        <v>1</v>
      </c>
      <c r="H58" s="1">
        <v>5.98</v>
      </c>
      <c r="I58">
        <f t="shared" si="0"/>
        <v>3.9800000000000004</v>
      </c>
    </row>
    <row r="59" spans="1:9" x14ac:dyDescent="0.3">
      <c r="A59" s="7" t="s">
        <v>56</v>
      </c>
      <c r="B59" s="1" t="s">
        <v>144</v>
      </c>
      <c r="C59" s="1" t="s">
        <v>150</v>
      </c>
      <c r="D59" s="1" t="s">
        <v>162</v>
      </c>
      <c r="E59" s="1">
        <v>2</v>
      </c>
      <c r="F59" s="1">
        <v>34.99</v>
      </c>
      <c r="G59" s="1">
        <v>18</v>
      </c>
      <c r="H59" s="1">
        <v>69.98</v>
      </c>
      <c r="I59">
        <f t="shared" si="0"/>
        <v>33.980000000000004</v>
      </c>
    </row>
    <row r="60" spans="1:9" x14ac:dyDescent="0.3">
      <c r="A60" s="7" t="s">
        <v>23</v>
      </c>
      <c r="B60" s="1" t="s">
        <v>145</v>
      </c>
      <c r="C60" s="1" t="s">
        <v>150</v>
      </c>
      <c r="D60" s="1" t="s">
        <v>163</v>
      </c>
      <c r="E60" s="1">
        <v>2</v>
      </c>
      <c r="F60" s="1">
        <v>14.99</v>
      </c>
      <c r="G60" s="1">
        <v>8</v>
      </c>
      <c r="H60" s="1">
        <v>29.98</v>
      </c>
      <c r="I60">
        <f t="shared" si="0"/>
        <v>13.98</v>
      </c>
    </row>
    <row r="61" spans="1:9" x14ac:dyDescent="0.3">
      <c r="A61" s="7" t="s">
        <v>41</v>
      </c>
      <c r="B61" s="1" t="s">
        <v>146</v>
      </c>
      <c r="C61" s="1" t="s">
        <v>149</v>
      </c>
      <c r="D61" s="1" t="s">
        <v>163</v>
      </c>
      <c r="E61" s="1">
        <v>3</v>
      </c>
      <c r="F61" s="1">
        <v>14.99</v>
      </c>
      <c r="G61" s="1">
        <v>8</v>
      </c>
      <c r="H61" s="1">
        <v>44.97</v>
      </c>
      <c r="I61">
        <f t="shared" si="0"/>
        <v>20.97</v>
      </c>
    </row>
    <row r="62" spans="1:9" x14ac:dyDescent="0.3">
      <c r="A62" s="7" t="s">
        <v>57</v>
      </c>
      <c r="B62" s="1" t="s">
        <v>127</v>
      </c>
      <c r="C62" s="1" t="s">
        <v>150</v>
      </c>
      <c r="D62" s="1" t="s">
        <v>153</v>
      </c>
      <c r="E62" s="1">
        <v>1</v>
      </c>
      <c r="F62" s="1">
        <v>12.5</v>
      </c>
      <c r="G62" s="1">
        <v>6.2</v>
      </c>
      <c r="H62" s="1">
        <v>12.5</v>
      </c>
      <c r="I62">
        <f t="shared" si="0"/>
        <v>6.3</v>
      </c>
    </row>
    <row r="63" spans="1:9" x14ac:dyDescent="0.3">
      <c r="A63" s="7" t="s">
        <v>58</v>
      </c>
      <c r="B63" s="1" t="s">
        <v>128</v>
      </c>
      <c r="C63" s="1" t="s">
        <v>147</v>
      </c>
      <c r="D63" s="1" t="s">
        <v>169</v>
      </c>
      <c r="E63" s="1">
        <v>5</v>
      </c>
      <c r="F63" s="1">
        <v>15.99</v>
      </c>
      <c r="G63" s="1">
        <v>9</v>
      </c>
      <c r="H63" s="1">
        <v>79.95</v>
      </c>
      <c r="I63">
        <f t="shared" si="0"/>
        <v>34.950000000000003</v>
      </c>
    </row>
    <row r="64" spans="1:9" x14ac:dyDescent="0.3">
      <c r="A64" s="7" t="s">
        <v>59</v>
      </c>
      <c r="B64" s="1" t="s">
        <v>129</v>
      </c>
      <c r="C64" s="1" t="s">
        <v>147</v>
      </c>
      <c r="D64" s="1" t="s">
        <v>170</v>
      </c>
      <c r="E64" s="1">
        <v>1</v>
      </c>
      <c r="F64" s="1">
        <v>2.99</v>
      </c>
      <c r="G64" s="1">
        <v>1</v>
      </c>
      <c r="H64" s="1">
        <v>2.99</v>
      </c>
      <c r="I64">
        <f t="shared" si="0"/>
        <v>1.9900000000000002</v>
      </c>
    </row>
    <row r="65" spans="1:9" x14ac:dyDescent="0.3">
      <c r="A65" s="7" t="s">
        <v>60</v>
      </c>
      <c r="B65" s="1" t="s">
        <v>130</v>
      </c>
      <c r="C65" s="1" t="s">
        <v>149</v>
      </c>
      <c r="D65" s="1" t="s">
        <v>151</v>
      </c>
      <c r="E65" s="1">
        <v>5</v>
      </c>
      <c r="F65" s="1">
        <v>22.99</v>
      </c>
      <c r="G65" s="1">
        <v>14</v>
      </c>
      <c r="H65" s="1">
        <v>114.95</v>
      </c>
      <c r="I65">
        <f t="shared" si="0"/>
        <v>44.95</v>
      </c>
    </row>
    <row r="66" spans="1:9" x14ac:dyDescent="0.3">
      <c r="A66" s="7" t="s">
        <v>16</v>
      </c>
      <c r="B66" s="1" t="s">
        <v>131</v>
      </c>
      <c r="C66" s="1" t="s">
        <v>149</v>
      </c>
      <c r="D66" s="1" t="s">
        <v>162</v>
      </c>
      <c r="E66" s="1">
        <v>3</v>
      </c>
      <c r="F66" s="1">
        <v>34.99</v>
      </c>
      <c r="G66" s="1">
        <v>18</v>
      </c>
      <c r="H66" s="1">
        <v>104.97</v>
      </c>
      <c r="I66">
        <f t="shared" si="0"/>
        <v>50.97</v>
      </c>
    </row>
    <row r="67" spans="1:9" x14ac:dyDescent="0.3">
      <c r="A67" s="7" t="s">
        <v>48</v>
      </c>
      <c r="B67" s="1" t="s">
        <v>132</v>
      </c>
      <c r="C67" s="1" t="s">
        <v>148</v>
      </c>
      <c r="D67" s="1" t="s">
        <v>165</v>
      </c>
      <c r="E67" s="1">
        <v>5</v>
      </c>
      <c r="F67" s="1">
        <v>18</v>
      </c>
      <c r="G67" s="1">
        <v>9</v>
      </c>
      <c r="H67" s="1">
        <v>90</v>
      </c>
      <c r="I67">
        <f t="shared" ref="I67:I130" si="1">H67-(G67*E67)</f>
        <v>45</v>
      </c>
    </row>
    <row r="68" spans="1:9" x14ac:dyDescent="0.3">
      <c r="A68" s="7" t="s">
        <v>61</v>
      </c>
      <c r="B68" s="1" t="s">
        <v>133</v>
      </c>
      <c r="C68" s="1" t="s">
        <v>147</v>
      </c>
      <c r="D68" s="1" t="s">
        <v>164</v>
      </c>
      <c r="E68" s="1">
        <v>5</v>
      </c>
      <c r="F68" s="1">
        <v>39.99</v>
      </c>
      <c r="G68" s="1">
        <v>22</v>
      </c>
      <c r="H68" s="1">
        <v>199.95</v>
      </c>
      <c r="I68">
        <f t="shared" si="1"/>
        <v>89.949999999999989</v>
      </c>
    </row>
    <row r="69" spans="1:9" x14ac:dyDescent="0.3">
      <c r="A69" s="7" t="s">
        <v>61</v>
      </c>
      <c r="B69" s="1" t="s">
        <v>134</v>
      </c>
      <c r="C69" s="1" t="s">
        <v>147</v>
      </c>
      <c r="D69" s="1" t="s">
        <v>169</v>
      </c>
      <c r="E69" s="1">
        <v>2</v>
      </c>
      <c r="F69" s="1">
        <v>15.99</v>
      </c>
      <c r="G69" s="1">
        <v>9</v>
      </c>
      <c r="H69" s="1">
        <v>31.98</v>
      </c>
      <c r="I69">
        <f t="shared" si="1"/>
        <v>13.98</v>
      </c>
    </row>
    <row r="70" spans="1:9" x14ac:dyDescent="0.3">
      <c r="A70" s="7" t="s">
        <v>51</v>
      </c>
      <c r="B70" s="1" t="s">
        <v>135</v>
      </c>
      <c r="C70" s="1" t="s">
        <v>147</v>
      </c>
      <c r="D70" s="1" t="s">
        <v>160</v>
      </c>
      <c r="E70" s="1">
        <v>1</v>
      </c>
      <c r="F70" s="1">
        <v>3.5</v>
      </c>
      <c r="G70" s="1">
        <v>1.2</v>
      </c>
      <c r="H70" s="1">
        <v>3.5</v>
      </c>
      <c r="I70">
        <f t="shared" si="1"/>
        <v>2.2999999999999998</v>
      </c>
    </row>
    <row r="71" spans="1:9" x14ac:dyDescent="0.3">
      <c r="A71" s="7" t="s">
        <v>16</v>
      </c>
      <c r="B71" s="1" t="s">
        <v>136</v>
      </c>
      <c r="C71" s="1" t="s">
        <v>150</v>
      </c>
      <c r="D71" s="1" t="s">
        <v>152</v>
      </c>
      <c r="E71" s="1">
        <v>2</v>
      </c>
      <c r="F71" s="1">
        <v>45</v>
      </c>
      <c r="G71" s="1">
        <v>28</v>
      </c>
      <c r="H71" s="1">
        <v>90</v>
      </c>
      <c r="I71">
        <f t="shared" si="1"/>
        <v>34</v>
      </c>
    </row>
    <row r="72" spans="1:9" x14ac:dyDescent="0.3">
      <c r="A72" s="7" t="s">
        <v>62</v>
      </c>
      <c r="B72" s="1" t="s">
        <v>137</v>
      </c>
      <c r="C72" s="1" t="s">
        <v>147</v>
      </c>
      <c r="D72" s="1" t="s">
        <v>167</v>
      </c>
      <c r="E72" s="1">
        <v>3</v>
      </c>
      <c r="F72" s="1">
        <v>89.99</v>
      </c>
      <c r="G72" s="1">
        <v>60</v>
      </c>
      <c r="H72" s="1">
        <v>269.97000000000003</v>
      </c>
      <c r="I72">
        <f t="shared" si="1"/>
        <v>89.970000000000027</v>
      </c>
    </row>
    <row r="73" spans="1:9" x14ac:dyDescent="0.3">
      <c r="A73" s="7" t="s">
        <v>29</v>
      </c>
      <c r="B73" s="1" t="s">
        <v>138</v>
      </c>
      <c r="C73" s="1" t="s">
        <v>148</v>
      </c>
      <c r="D73" s="1" t="s">
        <v>155</v>
      </c>
      <c r="E73" s="1">
        <v>3</v>
      </c>
      <c r="F73" s="1">
        <v>59.99</v>
      </c>
      <c r="G73" s="1">
        <v>35</v>
      </c>
      <c r="H73" s="1">
        <v>179.97</v>
      </c>
      <c r="I73">
        <f t="shared" si="1"/>
        <v>74.97</v>
      </c>
    </row>
    <row r="74" spans="1:9" x14ac:dyDescent="0.3">
      <c r="A74" s="7" t="s">
        <v>60</v>
      </c>
      <c r="B74" s="1" t="s">
        <v>139</v>
      </c>
      <c r="C74" s="1" t="s">
        <v>148</v>
      </c>
      <c r="D74" s="1" t="s">
        <v>170</v>
      </c>
      <c r="E74" s="1">
        <v>1</v>
      </c>
      <c r="F74" s="1">
        <v>2.99</v>
      </c>
      <c r="G74" s="1">
        <v>1</v>
      </c>
      <c r="H74" s="1">
        <v>2.99</v>
      </c>
      <c r="I74">
        <f t="shared" si="1"/>
        <v>1.9900000000000002</v>
      </c>
    </row>
    <row r="75" spans="1:9" x14ac:dyDescent="0.3">
      <c r="A75" s="7" t="s">
        <v>63</v>
      </c>
      <c r="B75" s="1" t="s">
        <v>140</v>
      </c>
      <c r="C75" s="1" t="s">
        <v>148</v>
      </c>
      <c r="D75" s="1" t="s">
        <v>155</v>
      </c>
      <c r="E75" s="1">
        <v>1</v>
      </c>
      <c r="F75" s="1">
        <v>59.99</v>
      </c>
      <c r="G75" s="1">
        <v>35</v>
      </c>
      <c r="H75" s="1">
        <v>59.99</v>
      </c>
      <c r="I75">
        <f t="shared" si="1"/>
        <v>24.990000000000002</v>
      </c>
    </row>
    <row r="76" spans="1:9" x14ac:dyDescent="0.3">
      <c r="A76" s="7" t="s">
        <v>64</v>
      </c>
      <c r="B76" s="1" t="s">
        <v>141</v>
      </c>
      <c r="C76" s="1" t="s">
        <v>147</v>
      </c>
      <c r="D76" s="1" t="s">
        <v>161</v>
      </c>
      <c r="E76" s="1">
        <v>5</v>
      </c>
      <c r="F76" s="1">
        <v>79.989999999999995</v>
      </c>
      <c r="G76" s="1">
        <v>50</v>
      </c>
      <c r="H76" s="1">
        <v>399.95</v>
      </c>
      <c r="I76">
        <f t="shared" si="1"/>
        <v>149.94999999999999</v>
      </c>
    </row>
    <row r="77" spans="1:9" x14ac:dyDescent="0.3">
      <c r="A77" s="7" t="s">
        <v>42</v>
      </c>
      <c r="B77" s="1" t="s">
        <v>142</v>
      </c>
      <c r="C77" s="1" t="s">
        <v>148</v>
      </c>
      <c r="D77" s="1" t="s">
        <v>161</v>
      </c>
      <c r="E77" s="1">
        <v>1</v>
      </c>
      <c r="F77" s="1">
        <v>79.989999999999995</v>
      </c>
      <c r="G77" s="1">
        <v>50</v>
      </c>
      <c r="H77" s="1">
        <v>79.989999999999995</v>
      </c>
      <c r="I77">
        <f t="shared" si="1"/>
        <v>29.989999999999995</v>
      </c>
    </row>
    <row r="78" spans="1:9" x14ac:dyDescent="0.3">
      <c r="A78" s="7" t="s">
        <v>65</v>
      </c>
      <c r="B78" s="1" t="s">
        <v>143</v>
      </c>
      <c r="C78" s="1" t="s">
        <v>149</v>
      </c>
      <c r="D78" s="1" t="s">
        <v>154</v>
      </c>
      <c r="E78" s="1">
        <v>5</v>
      </c>
      <c r="F78" s="1">
        <v>11.99</v>
      </c>
      <c r="G78" s="1">
        <v>5</v>
      </c>
      <c r="H78" s="1">
        <v>59.95</v>
      </c>
      <c r="I78">
        <f t="shared" si="1"/>
        <v>34.950000000000003</v>
      </c>
    </row>
    <row r="79" spans="1:9" x14ac:dyDescent="0.3">
      <c r="A79" s="7" t="s">
        <v>32</v>
      </c>
      <c r="B79" s="1" t="s">
        <v>144</v>
      </c>
      <c r="C79" s="1" t="s">
        <v>150</v>
      </c>
      <c r="D79" s="1" t="s">
        <v>167</v>
      </c>
      <c r="E79" s="1">
        <v>2</v>
      </c>
      <c r="F79" s="1">
        <v>89.99</v>
      </c>
      <c r="G79" s="1">
        <v>60</v>
      </c>
      <c r="H79" s="1">
        <v>179.98</v>
      </c>
      <c r="I79">
        <f t="shared" si="1"/>
        <v>59.97999999999999</v>
      </c>
    </row>
    <row r="80" spans="1:9" x14ac:dyDescent="0.3">
      <c r="A80" s="7" t="s">
        <v>66</v>
      </c>
      <c r="B80" s="1" t="s">
        <v>145</v>
      </c>
      <c r="C80" s="1" t="s">
        <v>150</v>
      </c>
      <c r="D80" s="1" t="s">
        <v>163</v>
      </c>
      <c r="E80" s="1">
        <v>4</v>
      </c>
      <c r="F80" s="1">
        <v>14.99</v>
      </c>
      <c r="G80" s="1">
        <v>8</v>
      </c>
      <c r="H80" s="1">
        <v>59.96</v>
      </c>
      <c r="I80">
        <f t="shared" si="1"/>
        <v>27.96</v>
      </c>
    </row>
    <row r="81" spans="1:9" x14ac:dyDescent="0.3">
      <c r="A81" s="7" t="s">
        <v>19</v>
      </c>
      <c r="B81" s="1" t="s">
        <v>146</v>
      </c>
      <c r="C81" s="1" t="s">
        <v>148</v>
      </c>
      <c r="D81" s="1" t="s">
        <v>155</v>
      </c>
      <c r="E81" s="1">
        <v>2</v>
      </c>
      <c r="F81" s="1">
        <v>59.99</v>
      </c>
      <c r="G81" s="1">
        <v>35</v>
      </c>
      <c r="H81" s="1">
        <v>119.98</v>
      </c>
      <c r="I81">
        <f t="shared" si="1"/>
        <v>49.980000000000004</v>
      </c>
    </row>
    <row r="82" spans="1:9" x14ac:dyDescent="0.3">
      <c r="A82" s="7" t="s">
        <v>67</v>
      </c>
      <c r="B82" s="1" t="s">
        <v>127</v>
      </c>
      <c r="C82" s="1" t="s">
        <v>150</v>
      </c>
      <c r="D82" s="1" t="s">
        <v>161</v>
      </c>
      <c r="E82" s="1">
        <v>2</v>
      </c>
      <c r="F82" s="1">
        <v>79.989999999999995</v>
      </c>
      <c r="G82" s="1">
        <v>50</v>
      </c>
      <c r="H82" s="1">
        <v>159.97999999999999</v>
      </c>
      <c r="I82">
        <f t="shared" si="1"/>
        <v>59.97999999999999</v>
      </c>
    </row>
    <row r="83" spans="1:9" x14ac:dyDescent="0.3">
      <c r="A83" s="7" t="s">
        <v>68</v>
      </c>
      <c r="B83" s="1" t="s">
        <v>128</v>
      </c>
      <c r="C83" s="1" t="s">
        <v>150</v>
      </c>
      <c r="D83" s="1" t="s">
        <v>165</v>
      </c>
      <c r="E83" s="1">
        <v>5</v>
      </c>
      <c r="F83" s="1">
        <v>18</v>
      </c>
      <c r="G83" s="1">
        <v>9</v>
      </c>
      <c r="H83" s="1">
        <v>90</v>
      </c>
      <c r="I83">
        <f t="shared" si="1"/>
        <v>45</v>
      </c>
    </row>
    <row r="84" spans="1:9" x14ac:dyDescent="0.3">
      <c r="A84" s="7" t="s">
        <v>69</v>
      </c>
      <c r="B84" s="1" t="s">
        <v>129</v>
      </c>
      <c r="C84" s="1" t="s">
        <v>149</v>
      </c>
      <c r="D84" s="1" t="s">
        <v>154</v>
      </c>
      <c r="E84" s="1">
        <v>2</v>
      </c>
      <c r="F84" s="1">
        <v>11.99</v>
      </c>
      <c r="G84" s="1">
        <v>5</v>
      </c>
      <c r="H84" s="1">
        <v>23.98</v>
      </c>
      <c r="I84">
        <f t="shared" si="1"/>
        <v>13.98</v>
      </c>
    </row>
    <row r="85" spans="1:9" x14ac:dyDescent="0.3">
      <c r="A85" s="7" t="s">
        <v>70</v>
      </c>
      <c r="B85" s="1" t="s">
        <v>130</v>
      </c>
      <c r="C85" s="1" t="s">
        <v>150</v>
      </c>
      <c r="D85" s="1" t="s">
        <v>167</v>
      </c>
      <c r="E85" s="1">
        <v>4</v>
      </c>
      <c r="F85" s="1">
        <v>89.99</v>
      </c>
      <c r="G85" s="1">
        <v>60</v>
      </c>
      <c r="H85" s="1">
        <v>359.96</v>
      </c>
      <c r="I85">
        <f t="shared" si="1"/>
        <v>119.95999999999998</v>
      </c>
    </row>
    <row r="86" spans="1:9" x14ac:dyDescent="0.3">
      <c r="A86" s="7" t="s">
        <v>29</v>
      </c>
      <c r="B86" s="1" t="s">
        <v>131</v>
      </c>
      <c r="C86" s="1" t="s">
        <v>147</v>
      </c>
      <c r="D86" s="1" t="s">
        <v>165</v>
      </c>
      <c r="E86" s="1">
        <v>4</v>
      </c>
      <c r="F86" s="1">
        <v>18</v>
      </c>
      <c r="G86" s="1">
        <v>9</v>
      </c>
      <c r="H86" s="1">
        <v>72</v>
      </c>
      <c r="I86">
        <f t="shared" si="1"/>
        <v>36</v>
      </c>
    </row>
    <row r="87" spans="1:9" x14ac:dyDescent="0.3">
      <c r="A87" s="7" t="s">
        <v>58</v>
      </c>
      <c r="B87" s="1" t="s">
        <v>132</v>
      </c>
      <c r="C87" s="1" t="s">
        <v>147</v>
      </c>
      <c r="D87" s="1" t="s">
        <v>159</v>
      </c>
      <c r="E87" s="1">
        <v>4</v>
      </c>
      <c r="F87" s="1">
        <v>145</v>
      </c>
      <c r="G87" s="1">
        <v>100</v>
      </c>
      <c r="H87" s="1">
        <v>580</v>
      </c>
      <c r="I87">
        <f t="shared" si="1"/>
        <v>180</v>
      </c>
    </row>
    <row r="88" spans="1:9" x14ac:dyDescent="0.3">
      <c r="A88" s="7" t="s">
        <v>36</v>
      </c>
      <c r="B88" s="1" t="s">
        <v>133</v>
      </c>
      <c r="C88" s="1" t="s">
        <v>150</v>
      </c>
      <c r="D88" s="1" t="s">
        <v>156</v>
      </c>
      <c r="E88" s="1">
        <v>5</v>
      </c>
      <c r="F88" s="1">
        <v>9.99</v>
      </c>
      <c r="G88" s="1">
        <v>4.5</v>
      </c>
      <c r="H88" s="1">
        <v>49.95</v>
      </c>
      <c r="I88">
        <f t="shared" si="1"/>
        <v>27.450000000000003</v>
      </c>
    </row>
    <row r="89" spans="1:9" x14ac:dyDescent="0.3">
      <c r="A89" s="7" t="s">
        <v>71</v>
      </c>
      <c r="B89" s="1" t="s">
        <v>134</v>
      </c>
      <c r="C89" s="1" t="s">
        <v>149</v>
      </c>
      <c r="D89" s="1" t="s">
        <v>158</v>
      </c>
      <c r="E89" s="1">
        <v>1</v>
      </c>
      <c r="F89" s="1">
        <v>20</v>
      </c>
      <c r="G89" s="1">
        <v>12</v>
      </c>
      <c r="H89" s="1">
        <v>20</v>
      </c>
      <c r="I89">
        <f t="shared" si="1"/>
        <v>8</v>
      </c>
    </row>
    <row r="90" spans="1:9" x14ac:dyDescent="0.3">
      <c r="A90" s="7" t="s">
        <v>72</v>
      </c>
      <c r="B90" s="1" t="s">
        <v>135</v>
      </c>
      <c r="C90" s="1" t="s">
        <v>150</v>
      </c>
      <c r="D90" s="1" t="s">
        <v>162</v>
      </c>
      <c r="E90" s="1">
        <v>2</v>
      </c>
      <c r="F90" s="1">
        <v>34.99</v>
      </c>
      <c r="G90" s="1">
        <v>18</v>
      </c>
      <c r="H90" s="1">
        <v>69.98</v>
      </c>
      <c r="I90">
        <f t="shared" si="1"/>
        <v>33.980000000000004</v>
      </c>
    </row>
    <row r="91" spans="1:9" x14ac:dyDescent="0.3">
      <c r="A91" s="7" t="s">
        <v>73</v>
      </c>
      <c r="B91" s="1" t="s">
        <v>136</v>
      </c>
      <c r="C91" s="1" t="s">
        <v>150</v>
      </c>
      <c r="D91" s="1" t="s">
        <v>155</v>
      </c>
      <c r="E91" s="1">
        <v>2</v>
      </c>
      <c r="F91" s="1">
        <v>59.99</v>
      </c>
      <c r="G91" s="1">
        <v>35</v>
      </c>
      <c r="H91" s="1">
        <v>119.98</v>
      </c>
      <c r="I91">
        <f t="shared" si="1"/>
        <v>49.980000000000004</v>
      </c>
    </row>
    <row r="92" spans="1:9" x14ac:dyDescent="0.3">
      <c r="A92" s="7" t="s">
        <v>43</v>
      </c>
      <c r="B92" s="1" t="s">
        <v>137</v>
      </c>
      <c r="C92" s="1" t="s">
        <v>148</v>
      </c>
      <c r="D92" s="1" t="s">
        <v>158</v>
      </c>
      <c r="E92" s="1">
        <v>3</v>
      </c>
      <c r="F92" s="1">
        <v>20</v>
      </c>
      <c r="G92" s="1">
        <v>12</v>
      </c>
      <c r="H92" s="1">
        <v>60</v>
      </c>
      <c r="I92">
        <f t="shared" si="1"/>
        <v>24</v>
      </c>
    </row>
    <row r="93" spans="1:9" x14ac:dyDescent="0.3">
      <c r="A93" s="7" t="s">
        <v>46</v>
      </c>
      <c r="B93" s="1" t="s">
        <v>138</v>
      </c>
      <c r="C93" s="1" t="s">
        <v>150</v>
      </c>
      <c r="D93" s="1" t="s">
        <v>151</v>
      </c>
      <c r="E93" s="1">
        <v>2</v>
      </c>
      <c r="F93" s="1">
        <v>22.99</v>
      </c>
      <c r="G93" s="1">
        <v>14</v>
      </c>
      <c r="H93" s="1">
        <v>45.98</v>
      </c>
      <c r="I93">
        <f t="shared" si="1"/>
        <v>17.979999999999997</v>
      </c>
    </row>
    <row r="94" spans="1:9" x14ac:dyDescent="0.3">
      <c r="A94" s="7" t="s">
        <v>74</v>
      </c>
      <c r="B94" s="1" t="s">
        <v>139</v>
      </c>
      <c r="C94" s="1" t="s">
        <v>150</v>
      </c>
      <c r="D94" s="1" t="s">
        <v>160</v>
      </c>
      <c r="E94" s="1">
        <v>5</v>
      </c>
      <c r="F94" s="1">
        <v>3.5</v>
      </c>
      <c r="G94" s="1">
        <v>1.2</v>
      </c>
      <c r="H94" s="1">
        <v>17.5</v>
      </c>
      <c r="I94">
        <f t="shared" si="1"/>
        <v>11.5</v>
      </c>
    </row>
    <row r="95" spans="1:9" x14ac:dyDescent="0.3">
      <c r="A95" s="7" t="s">
        <v>12</v>
      </c>
      <c r="B95" s="1" t="s">
        <v>140</v>
      </c>
      <c r="C95" s="1" t="s">
        <v>149</v>
      </c>
      <c r="D95" s="1" t="s">
        <v>162</v>
      </c>
      <c r="E95" s="1">
        <v>1</v>
      </c>
      <c r="F95" s="1">
        <v>34.99</v>
      </c>
      <c r="G95" s="1">
        <v>18</v>
      </c>
      <c r="H95" s="1">
        <v>34.99</v>
      </c>
      <c r="I95">
        <f t="shared" si="1"/>
        <v>16.990000000000002</v>
      </c>
    </row>
    <row r="96" spans="1:9" x14ac:dyDescent="0.3">
      <c r="A96" s="7" t="s">
        <v>40</v>
      </c>
      <c r="B96" s="1" t="s">
        <v>141</v>
      </c>
      <c r="C96" s="1" t="s">
        <v>150</v>
      </c>
      <c r="D96" s="1" t="s">
        <v>156</v>
      </c>
      <c r="E96" s="1">
        <v>4</v>
      </c>
      <c r="F96" s="1">
        <v>9.99</v>
      </c>
      <c r="G96" s="1">
        <v>4.5</v>
      </c>
      <c r="H96" s="1">
        <v>39.96</v>
      </c>
      <c r="I96">
        <f t="shared" si="1"/>
        <v>21.96</v>
      </c>
    </row>
    <row r="97" spans="1:9" x14ac:dyDescent="0.3">
      <c r="A97" s="7" t="s">
        <v>75</v>
      </c>
      <c r="B97" s="1" t="s">
        <v>142</v>
      </c>
      <c r="C97" s="1" t="s">
        <v>147</v>
      </c>
      <c r="D97" s="1" t="s">
        <v>162</v>
      </c>
      <c r="E97" s="1">
        <v>4</v>
      </c>
      <c r="F97" s="1">
        <v>34.99</v>
      </c>
      <c r="G97" s="1">
        <v>18</v>
      </c>
      <c r="H97" s="1">
        <v>139.96</v>
      </c>
      <c r="I97">
        <f t="shared" si="1"/>
        <v>67.960000000000008</v>
      </c>
    </row>
    <row r="98" spans="1:9" x14ac:dyDescent="0.3">
      <c r="A98" s="7" t="s">
        <v>76</v>
      </c>
      <c r="B98" s="1" t="s">
        <v>143</v>
      </c>
      <c r="C98" s="1" t="s">
        <v>147</v>
      </c>
      <c r="D98" s="1" t="s">
        <v>166</v>
      </c>
      <c r="E98" s="1">
        <v>4</v>
      </c>
      <c r="F98" s="1">
        <v>25</v>
      </c>
      <c r="G98" s="1">
        <v>12</v>
      </c>
      <c r="H98" s="1">
        <v>100</v>
      </c>
      <c r="I98">
        <f t="shared" si="1"/>
        <v>52</v>
      </c>
    </row>
    <row r="99" spans="1:9" x14ac:dyDescent="0.3">
      <c r="A99" s="7" t="s">
        <v>77</v>
      </c>
      <c r="B99" s="1" t="s">
        <v>144</v>
      </c>
      <c r="C99" s="1" t="s">
        <v>149</v>
      </c>
      <c r="D99" s="1" t="s">
        <v>170</v>
      </c>
      <c r="E99" s="1">
        <v>3</v>
      </c>
      <c r="F99" s="1">
        <v>2.99</v>
      </c>
      <c r="G99" s="1">
        <v>1</v>
      </c>
      <c r="H99" s="1">
        <v>8.9700000000000006</v>
      </c>
      <c r="I99">
        <f t="shared" si="1"/>
        <v>5.9700000000000006</v>
      </c>
    </row>
    <row r="100" spans="1:9" x14ac:dyDescent="0.3">
      <c r="A100" s="7" t="s">
        <v>78</v>
      </c>
      <c r="B100" s="1" t="s">
        <v>145</v>
      </c>
      <c r="C100" s="1" t="s">
        <v>150</v>
      </c>
      <c r="D100" s="1" t="s">
        <v>170</v>
      </c>
      <c r="E100" s="1">
        <v>1</v>
      </c>
      <c r="F100" s="1">
        <v>2.99</v>
      </c>
      <c r="G100" s="1">
        <v>1</v>
      </c>
      <c r="H100" s="1">
        <v>2.99</v>
      </c>
      <c r="I100">
        <f t="shared" si="1"/>
        <v>1.9900000000000002</v>
      </c>
    </row>
    <row r="101" spans="1:9" x14ac:dyDescent="0.3">
      <c r="A101" s="7" t="s">
        <v>31</v>
      </c>
      <c r="B101" s="1" t="s">
        <v>146</v>
      </c>
      <c r="C101" s="1" t="s">
        <v>147</v>
      </c>
      <c r="D101" s="1" t="s">
        <v>165</v>
      </c>
      <c r="E101" s="1">
        <v>3</v>
      </c>
      <c r="F101" s="1">
        <v>18</v>
      </c>
      <c r="G101" s="1">
        <v>9</v>
      </c>
      <c r="H101" s="1">
        <v>54</v>
      </c>
      <c r="I101">
        <f t="shared" si="1"/>
        <v>27</v>
      </c>
    </row>
    <row r="102" spans="1:9" x14ac:dyDescent="0.3">
      <c r="A102" s="7" t="s">
        <v>79</v>
      </c>
      <c r="B102" s="1" t="s">
        <v>127</v>
      </c>
      <c r="C102" s="1" t="s">
        <v>149</v>
      </c>
      <c r="D102" s="1" t="s">
        <v>167</v>
      </c>
      <c r="E102" s="1">
        <v>4</v>
      </c>
      <c r="F102" s="1">
        <v>89.99</v>
      </c>
      <c r="G102" s="1">
        <v>60</v>
      </c>
      <c r="H102" s="1">
        <v>359.96</v>
      </c>
      <c r="I102">
        <f t="shared" si="1"/>
        <v>119.95999999999998</v>
      </c>
    </row>
    <row r="103" spans="1:9" x14ac:dyDescent="0.3">
      <c r="A103" s="7" t="s">
        <v>80</v>
      </c>
      <c r="B103" s="1" t="s">
        <v>128</v>
      </c>
      <c r="C103" s="1" t="s">
        <v>149</v>
      </c>
      <c r="D103" s="1" t="s">
        <v>152</v>
      </c>
      <c r="E103" s="1">
        <v>5</v>
      </c>
      <c r="F103" s="1">
        <v>45</v>
      </c>
      <c r="G103" s="1">
        <v>28</v>
      </c>
      <c r="H103" s="1">
        <v>225</v>
      </c>
      <c r="I103">
        <f t="shared" si="1"/>
        <v>85</v>
      </c>
    </row>
    <row r="104" spans="1:9" x14ac:dyDescent="0.3">
      <c r="A104" s="7" t="s">
        <v>81</v>
      </c>
      <c r="B104" s="1" t="s">
        <v>129</v>
      </c>
      <c r="C104" s="1" t="s">
        <v>147</v>
      </c>
      <c r="D104" s="1" t="s">
        <v>166</v>
      </c>
      <c r="E104" s="1">
        <v>2</v>
      </c>
      <c r="F104" s="1">
        <v>25</v>
      </c>
      <c r="G104" s="1">
        <v>12</v>
      </c>
      <c r="H104" s="1">
        <v>50</v>
      </c>
      <c r="I104">
        <f t="shared" si="1"/>
        <v>26</v>
      </c>
    </row>
    <row r="105" spans="1:9" x14ac:dyDescent="0.3">
      <c r="A105" s="7" t="s">
        <v>39</v>
      </c>
      <c r="B105" s="1" t="s">
        <v>130</v>
      </c>
      <c r="C105" s="1" t="s">
        <v>149</v>
      </c>
      <c r="D105" s="1" t="s">
        <v>160</v>
      </c>
      <c r="E105" s="1">
        <v>3</v>
      </c>
      <c r="F105" s="1">
        <v>3.5</v>
      </c>
      <c r="G105" s="1">
        <v>1.2</v>
      </c>
      <c r="H105" s="1">
        <v>10.5</v>
      </c>
      <c r="I105">
        <f t="shared" si="1"/>
        <v>6.9</v>
      </c>
    </row>
    <row r="106" spans="1:9" x14ac:dyDescent="0.3">
      <c r="A106" s="7" t="s">
        <v>82</v>
      </c>
      <c r="B106" s="1" t="s">
        <v>131</v>
      </c>
      <c r="C106" s="1" t="s">
        <v>148</v>
      </c>
      <c r="D106" s="1" t="s">
        <v>165</v>
      </c>
      <c r="E106" s="1">
        <v>2</v>
      </c>
      <c r="F106" s="1">
        <v>18</v>
      </c>
      <c r="G106" s="1">
        <v>9</v>
      </c>
      <c r="H106" s="1">
        <v>36</v>
      </c>
      <c r="I106">
        <f t="shared" si="1"/>
        <v>18</v>
      </c>
    </row>
    <row r="107" spans="1:9" x14ac:dyDescent="0.3">
      <c r="A107" s="7" t="s">
        <v>83</v>
      </c>
      <c r="B107" s="1" t="s">
        <v>132</v>
      </c>
      <c r="C107" s="1" t="s">
        <v>148</v>
      </c>
      <c r="D107" s="1" t="s">
        <v>154</v>
      </c>
      <c r="E107" s="1">
        <v>1</v>
      </c>
      <c r="F107" s="1">
        <v>11.99</v>
      </c>
      <c r="G107" s="1">
        <v>5</v>
      </c>
      <c r="H107" s="1">
        <v>11.99</v>
      </c>
      <c r="I107">
        <f t="shared" si="1"/>
        <v>6.99</v>
      </c>
    </row>
    <row r="108" spans="1:9" x14ac:dyDescent="0.3">
      <c r="A108" s="7" t="s">
        <v>78</v>
      </c>
      <c r="B108" s="1" t="s">
        <v>133</v>
      </c>
      <c r="C108" s="1" t="s">
        <v>148</v>
      </c>
      <c r="D108" s="1" t="s">
        <v>168</v>
      </c>
      <c r="E108" s="1">
        <v>4</v>
      </c>
      <c r="F108" s="1">
        <v>129.99</v>
      </c>
      <c r="G108" s="1">
        <v>95</v>
      </c>
      <c r="H108" s="1">
        <v>519.96</v>
      </c>
      <c r="I108">
        <f t="shared" si="1"/>
        <v>139.96000000000004</v>
      </c>
    </row>
    <row r="109" spans="1:9" x14ac:dyDescent="0.3">
      <c r="A109" s="7" t="s">
        <v>70</v>
      </c>
      <c r="B109" s="1" t="s">
        <v>134</v>
      </c>
      <c r="C109" s="1" t="s">
        <v>150</v>
      </c>
      <c r="D109" s="1" t="s">
        <v>170</v>
      </c>
      <c r="E109" s="1">
        <v>1</v>
      </c>
      <c r="F109" s="1">
        <v>2.99</v>
      </c>
      <c r="G109" s="1">
        <v>1</v>
      </c>
      <c r="H109" s="1">
        <v>2.99</v>
      </c>
      <c r="I109">
        <f t="shared" si="1"/>
        <v>1.9900000000000002</v>
      </c>
    </row>
    <row r="110" spans="1:9" x14ac:dyDescent="0.3">
      <c r="A110" s="7" t="s">
        <v>84</v>
      </c>
      <c r="B110" s="1" t="s">
        <v>135</v>
      </c>
      <c r="C110" s="1" t="s">
        <v>148</v>
      </c>
      <c r="D110" s="1" t="s">
        <v>157</v>
      </c>
      <c r="E110" s="1">
        <v>1</v>
      </c>
      <c r="F110" s="1">
        <v>120</v>
      </c>
      <c r="G110" s="1">
        <v>80</v>
      </c>
      <c r="H110" s="1">
        <v>120</v>
      </c>
      <c r="I110">
        <f t="shared" si="1"/>
        <v>40</v>
      </c>
    </row>
    <row r="111" spans="1:9" x14ac:dyDescent="0.3">
      <c r="A111" s="7" t="s">
        <v>56</v>
      </c>
      <c r="B111" s="1" t="s">
        <v>136</v>
      </c>
      <c r="C111" s="1" t="s">
        <v>148</v>
      </c>
      <c r="D111" s="1" t="s">
        <v>160</v>
      </c>
      <c r="E111" s="1">
        <v>4</v>
      </c>
      <c r="F111" s="1">
        <v>3.5</v>
      </c>
      <c r="G111" s="1">
        <v>1.2</v>
      </c>
      <c r="H111" s="1">
        <v>14</v>
      </c>
      <c r="I111">
        <f t="shared" si="1"/>
        <v>9.1999999999999993</v>
      </c>
    </row>
    <row r="112" spans="1:9" x14ac:dyDescent="0.3">
      <c r="A112" s="7" t="s">
        <v>85</v>
      </c>
      <c r="B112" s="1" t="s">
        <v>137</v>
      </c>
      <c r="C112" s="1" t="s">
        <v>149</v>
      </c>
      <c r="D112" s="1" t="s">
        <v>157</v>
      </c>
      <c r="E112" s="1">
        <v>4</v>
      </c>
      <c r="F112" s="1">
        <v>120</v>
      </c>
      <c r="G112" s="1">
        <v>80</v>
      </c>
      <c r="H112" s="1">
        <v>480</v>
      </c>
      <c r="I112">
        <f t="shared" si="1"/>
        <v>160</v>
      </c>
    </row>
    <row r="113" spans="1:9" x14ac:dyDescent="0.3">
      <c r="A113" s="7" t="s">
        <v>86</v>
      </c>
      <c r="B113" s="1" t="s">
        <v>138</v>
      </c>
      <c r="C113" s="1" t="s">
        <v>147</v>
      </c>
      <c r="D113" s="1" t="s">
        <v>162</v>
      </c>
      <c r="E113" s="1">
        <v>4</v>
      </c>
      <c r="F113" s="1">
        <v>34.99</v>
      </c>
      <c r="G113" s="1">
        <v>18</v>
      </c>
      <c r="H113" s="1">
        <v>139.96</v>
      </c>
      <c r="I113">
        <f t="shared" si="1"/>
        <v>67.960000000000008</v>
      </c>
    </row>
    <row r="114" spans="1:9" x14ac:dyDescent="0.3">
      <c r="A114" s="7" t="s">
        <v>87</v>
      </c>
      <c r="B114" s="1" t="s">
        <v>139</v>
      </c>
      <c r="C114" s="1" t="s">
        <v>150</v>
      </c>
      <c r="D114" s="1" t="s">
        <v>159</v>
      </c>
      <c r="E114" s="1">
        <v>5</v>
      </c>
      <c r="F114" s="1">
        <v>145</v>
      </c>
      <c r="G114" s="1">
        <v>100</v>
      </c>
      <c r="H114" s="1">
        <v>725</v>
      </c>
      <c r="I114">
        <f t="shared" si="1"/>
        <v>225</v>
      </c>
    </row>
    <row r="115" spans="1:9" x14ac:dyDescent="0.3">
      <c r="A115" s="7" t="s">
        <v>88</v>
      </c>
      <c r="B115" s="1" t="s">
        <v>140</v>
      </c>
      <c r="C115" s="1" t="s">
        <v>147</v>
      </c>
      <c r="D115" s="1" t="s">
        <v>152</v>
      </c>
      <c r="E115" s="1">
        <v>1</v>
      </c>
      <c r="F115" s="1">
        <v>45</v>
      </c>
      <c r="G115" s="1">
        <v>28</v>
      </c>
      <c r="H115" s="1">
        <v>45</v>
      </c>
      <c r="I115">
        <f t="shared" si="1"/>
        <v>17</v>
      </c>
    </row>
    <row r="116" spans="1:9" x14ac:dyDescent="0.3">
      <c r="A116" s="7" t="s">
        <v>89</v>
      </c>
      <c r="B116" s="1" t="s">
        <v>141</v>
      </c>
      <c r="C116" s="1" t="s">
        <v>149</v>
      </c>
      <c r="D116" s="1" t="s">
        <v>158</v>
      </c>
      <c r="E116" s="1">
        <v>5</v>
      </c>
      <c r="F116" s="1">
        <v>20</v>
      </c>
      <c r="G116" s="1">
        <v>12</v>
      </c>
      <c r="H116" s="1">
        <v>100</v>
      </c>
      <c r="I116">
        <f t="shared" si="1"/>
        <v>40</v>
      </c>
    </row>
    <row r="117" spans="1:9" x14ac:dyDescent="0.3">
      <c r="A117" s="7" t="s">
        <v>90</v>
      </c>
      <c r="B117" s="1" t="s">
        <v>142</v>
      </c>
      <c r="C117" s="1" t="s">
        <v>147</v>
      </c>
      <c r="D117" s="1" t="s">
        <v>166</v>
      </c>
      <c r="E117" s="1">
        <v>5</v>
      </c>
      <c r="F117" s="1">
        <v>25</v>
      </c>
      <c r="G117" s="1">
        <v>12</v>
      </c>
      <c r="H117" s="1">
        <v>125</v>
      </c>
      <c r="I117">
        <f t="shared" si="1"/>
        <v>65</v>
      </c>
    </row>
    <row r="118" spans="1:9" x14ac:dyDescent="0.3">
      <c r="A118" s="7" t="s">
        <v>27</v>
      </c>
      <c r="B118" s="1" t="s">
        <v>143</v>
      </c>
      <c r="C118" s="1" t="s">
        <v>147</v>
      </c>
      <c r="D118" s="1" t="s">
        <v>154</v>
      </c>
      <c r="E118" s="1">
        <v>4</v>
      </c>
      <c r="F118" s="1">
        <v>11.99</v>
      </c>
      <c r="G118" s="1">
        <v>5</v>
      </c>
      <c r="H118" s="1">
        <v>47.96</v>
      </c>
      <c r="I118">
        <f t="shared" si="1"/>
        <v>27.96</v>
      </c>
    </row>
    <row r="119" spans="1:9" x14ac:dyDescent="0.3">
      <c r="A119" s="7" t="s">
        <v>91</v>
      </c>
      <c r="B119" s="1" t="s">
        <v>144</v>
      </c>
      <c r="C119" s="1" t="s">
        <v>148</v>
      </c>
      <c r="D119" s="1" t="s">
        <v>154</v>
      </c>
      <c r="E119" s="1">
        <v>1</v>
      </c>
      <c r="F119" s="1">
        <v>11.99</v>
      </c>
      <c r="G119" s="1">
        <v>5</v>
      </c>
      <c r="H119" s="1">
        <v>11.99</v>
      </c>
      <c r="I119">
        <f t="shared" si="1"/>
        <v>6.99</v>
      </c>
    </row>
    <row r="120" spans="1:9" x14ac:dyDescent="0.3">
      <c r="A120" s="7" t="s">
        <v>31</v>
      </c>
      <c r="B120" s="1" t="s">
        <v>145</v>
      </c>
      <c r="C120" s="1" t="s">
        <v>150</v>
      </c>
      <c r="D120" s="1" t="s">
        <v>164</v>
      </c>
      <c r="E120" s="1">
        <v>5</v>
      </c>
      <c r="F120" s="1">
        <v>39.99</v>
      </c>
      <c r="G120" s="1">
        <v>22</v>
      </c>
      <c r="H120" s="1">
        <v>199.95</v>
      </c>
      <c r="I120">
        <f t="shared" si="1"/>
        <v>89.949999999999989</v>
      </c>
    </row>
    <row r="121" spans="1:9" x14ac:dyDescent="0.3">
      <c r="A121" s="7" t="s">
        <v>78</v>
      </c>
      <c r="B121" s="1" t="s">
        <v>146</v>
      </c>
      <c r="C121" s="1" t="s">
        <v>149</v>
      </c>
      <c r="D121" s="1" t="s">
        <v>156</v>
      </c>
      <c r="E121" s="1">
        <v>1</v>
      </c>
      <c r="F121" s="1">
        <v>9.99</v>
      </c>
      <c r="G121" s="1">
        <v>4.5</v>
      </c>
      <c r="H121" s="1">
        <v>9.99</v>
      </c>
      <c r="I121">
        <f t="shared" si="1"/>
        <v>5.49</v>
      </c>
    </row>
    <row r="122" spans="1:9" x14ac:dyDescent="0.3">
      <c r="A122" s="7" t="s">
        <v>43</v>
      </c>
      <c r="B122" s="1" t="s">
        <v>127</v>
      </c>
      <c r="C122" s="1" t="s">
        <v>150</v>
      </c>
      <c r="D122" s="1" t="s">
        <v>170</v>
      </c>
      <c r="E122" s="1">
        <v>1</v>
      </c>
      <c r="F122" s="1">
        <v>2.99</v>
      </c>
      <c r="G122" s="1">
        <v>1</v>
      </c>
      <c r="H122" s="1">
        <v>2.99</v>
      </c>
      <c r="I122">
        <f t="shared" si="1"/>
        <v>1.9900000000000002</v>
      </c>
    </row>
    <row r="123" spans="1:9" x14ac:dyDescent="0.3">
      <c r="A123" s="7" t="s">
        <v>26</v>
      </c>
      <c r="B123" s="1" t="s">
        <v>128</v>
      </c>
      <c r="C123" s="1" t="s">
        <v>147</v>
      </c>
      <c r="D123" s="1" t="s">
        <v>163</v>
      </c>
      <c r="E123" s="1">
        <v>1</v>
      </c>
      <c r="F123" s="1">
        <v>14.99</v>
      </c>
      <c r="G123" s="1">
        <v>8</v>
      </c>
      <c r="H123" s="1">
        <v>14.99</v>
      </c>
      <c r="I123">
        <f t="shared" si="1"/>
        <v>6.99</v>
      </c>
    </row>
    <row r="124" spans="1:9" x14ac:dyDescent="0.3">
      <c r="A124" s="7" t="s">
        <v>92</v>
      </c>
      <c r="B124" s="1" t="s">
        <v>129</v>
      </c>
      <c r="C124" s="1" t="s">
        <v>150</v>
      </c>
      <c r="D124" s="1" t="s">
        <v>167</v>
      </c>
      <c r="E124" s="1">
        <v>1</v>
      </c>
      <c r="F124" s="1">
        <v>89.99</v>
      </c>
      <c r="G124" s="1">
        <v>60</v>
      </c>
      <c r="H124" s="1">
        <v>89.99</v>
      </c>
      <c r="I124">
        <f t="shared" si="1"/>
        <v>29.989999999999995</v>
      </c>
    </row>
    <row r="125" spans="1:9" x14ac:dyDescent="0.3">
      <c r="A125" s="7" t="s">
        <v>93</v>
      </c>
      <c r="B125" s="1" t="s">
        <v>130</v>
      </c>
      <c r="C125" s="1" t="s">
        <v>150</v>
      </c>
      <c r="D125" s="1" t="s">
        <v>155</v>
      </c>
      <c r="E125" s="1">
        <v>3</v>
      </c>
      <c r="F125" s="1">
        <v>59.99</v>
      </c>
      <c r="G125" s="1">
        <v>35</v>
      </c>
      <c r="H125" s="1">
        <v>179.97</v>
      </c>
      <c r="I125">
        <f t="shared" si="1"/>
        <v>74.97</v>
      </c>
    </row>
    <row r="126" spans="1:9" x14ac:dyDescent="0.3">
      <c r="A126" s="7" t="s">
        <v>38</v>
      </c>
      <c r="B126" s="1" t="s">
        <v>131</v>
      </c>
      <c r="C126" s="1" t="s">
        <v>149</v>
      </c>
      <c r="D126" s="1" t="s">
        <v>160</v>
      </c>
      <c r="E126" s="1">
        <v>5</v>
      </c>
      <c r="F126" s="1">
        <v>3.5</v>
      </c>
      <c r="G126" s="1">
        <v>1.2</v>
      </c>
      <c r="H126" s="1">
        <v>17.5</v>
      </c>
      <c r="I126">
        <f t="shared" si="1"/>
        <v>11.5</v>
      </c>
    </row>
    <row r="127" spans="1:9" x14ac:dyDescent="0.3">
      <c r="A127" s="7" t="s">
        <v>89</v>
      </c>
      <c r="B127" s="1" t="s">
        <v>132</v>
      </c>
      <c r="C127" s="1" t="s">
        <v>148</v>
      </c>
      <c r="D127" s="1" t="s">
        <v>162</v>
      </c>
      <c r="E127" s="1">
        <v>4</v>
      </c>
      <c r="F127" s="1">
        <v>34.99</v>
      </c>
      <c r="G127" s="1">
        <v>18</v>
      </c>
      <c r="H127" s="1">
        <v>139.96</v>
      </c>
      <c r="I127">
        <f t="shared" si="1"/>
        <v>67.960000000000008</v>
      </c>
    </row>
    <row r="128" spans="1:9" x14ac:dyDescent="0.3">
      <c r="A128" s="7" t="s">
        <v>61</v>
      </c>
      <c r="B128" s="1" t="s">
        <v>133</v>
      </c>
      <c r="C128" s="1" t="s">
        <v>147</v>
      </c>
      <c r="D128" s="1" t="s">
        <v>164</v>
      </c>
      <c r="E128" s="1">
        <v>3</v>
      </c>
      <c r="F128" s="1">
        <v>39.99</v>
      </c>
      <c r="G128" s="1">
        <v>22</v>
      </c>
      <c r="H128" s="1">
        <v>119.97</v>
      </c>
      <c r="I128">
        <f t="shared" si="1"/>
        <v>53.97</v>
      </c>
    </row>
    <row r="129" spans="1:9" x14ac:dyDescent="0.3">
      <c r="A129" s="7" t="s">
        <v>25</v>
      </c>
      <c r="B129" s="1" t="s">
        <v>134</v>
      </c>
      <c r="C129" s="1" t="s">
        <v>147</v>
      </c>
      <c r="D129" s="1" t="s">
        <v>164</v>
      </c>
      <c r="E129" s="1">
        <v>4</v>
      </c>
      <c r="F129" s="1">
        <v>39.99</v>
      </c>
      <c r="G129" s="1">
        <v>22</v>
      </c>
      <c r="H129" s="1">
        <v>159.96</v>
      </c>
      <c r="I129">
        <f t="shared" si="1"/>
        <v>71.960000000000008</v>
      </c>
    </row>
    <row r="130" spans="1:9" x14ac:dyDescent="0.3">
      <c r="A130" s="7" t="s">
        <v>33</v>
      </c>
      <c r="B130" s="1" t="s">
        <v>135</v>
      </c>
      <c r="C130" s="1" t="s">
        <v>150</v>
      </c>
      <c r="D130" s="1" t="s">
        <v>157</v>
      </c>
      <c r="E130" s="1">
        <v>1</v>
      </c>
      <c r="F130" s="1">
        <v>120</v>
      </c>
      <c r="G130" s="1">
        <v>80</v>
      </c>
      <c r="H130" s="1">
        <v>120</v>
      </c>
      <c r="I130">
        <f t="shared" si="1"/>
        <v>40</v>
      </c>
    </row>
    <row r="131" spans="1:9" x14ac:dyDescent="0.3">
      <c r="A131" s="7" t="s">
        <v>17</v>
      </c>
      <c r="B131" s="1" t="s">
        <v>136</v>
      </c>
      <c r="C131" s="1" t="s">
        <v>148</v>
      </c>
      <c r="D131" s="1" t="s">
        <v>170</v>
      </c>
      <c r="E131" s="1">
        <v>2</v>
      </c>
      <c r="F131" s="1">
        <v>2.99</v>
      </c>
      <c r="G131" s="1">
        <v>1</v>
      </c>
      <c r="H131" s="1">
        <v>5.98</v>
      </c>
      <c r="I131">
        <f t="shared" ref="I131:I194" si="2">H131-(G131*E131)</f>
        <v>3.9800000000000004</v>
      </c>
    </row>
    <row r="132" spans="1:9" x14ac:dyDescent="0.3">
      <c r="A132" s="7" t="s">
        <v>90</v>
      </c>
      <c r="B132" s="1" t="s">
        <v>137</v>
      </c>
      <c r="C132" s="1" t="s">
        <v>147</v>
      </c>
      <c r="D132" s="1" t="s">
        <v>158</v>
      </c>
      <c r="E132" s="1">
        <v>1</v>
      </c>
      <c r="F132" s="1">
        <v>20</v>
      </c>
      <c r="G132" s="1">
        <v>12</v>
      </c>
      <c r="H132" s="1">
        <v>20</v>
      </c>
      <c r="I132">
        <f t="shared" si="2"/>
        <v>8</v>
      </c>
    </row>
    <row r="133" spans="1:9" x14ac:dyDescent="0.3">
      <c r="A133" s="7" t="s">
        <v>23</v>
      </c>
      <c r="B133" s="1" t="s">
        <v>138</v>
      </c>
      <c r="C133" s="1" t="s">
        <v>150</v>
      </c>
      <c r="D133" s="1" t="s">
        <v>157</v>
      </c>
      <c r="E133" s="1">
        <v>5</v>
      </c>
      <c r="F133" s="1">
        <v>120</v>
      </c>
      <c r="G133" s="1">
        <v>80</v>
      </c>
      <c r="H133" s="1">
        <v>600</v>
      </c>
      <c r="I133">
        <f t="shared" si="2"/>
        <v>200</v>
      </c>
    </row>
    <row r="134" spans="1:9" x14ac:dyDescent="0.3">
      <c r="A134" s="7" t="s">
        <v>31</v>
      </c>
      <c r="B134" s="1" t="s">
        <v>139</v>
      </c>
      <c r="C134" s="1" t="s">
        <v>149</v>
      </c>
      <c r="D134" s="1" t="s">
        <v>166</v>
      </c>
      <c r="E134" s="1">
        <v>4</v>
      </c>
      <c r="F134" s="1">
        <v>25</v>
      </c>
      <c r="G134" s="1">
        <v>12</v>
      </c>
      <c r="H134" s="1">
        <v>100</v>
      </c>
      <c r="I134">
        <f t="shared" si="2"/>
        <v>52</v>
      </c>
    </row>
    <row r="135" spans="1:9" x14ac:dyDescent="0.3">
      <c r="A135" s="7" t="s">
        <v>94</v>
      </c>
      <c r="B135" s="1" t="s">
        <v>140</v>
      </c>
      <c r="C135" s="1" t="s">
        <v>147</v>
      </c>
      <c r="D135" s="1" t="s">
        <v>153</v>
      </c>
      <c r="E135" s="1">
        <v>2</v>
      </c>
      <c r="F135" s="1">
        <v>12.5</v>
      </c>
      <c r="G135" s="1">
        <v>6.2</v>
      </c>
      <c r="H135" s="1">
        <v>25</v>
      </c>
      <c r="I135">
        <f t="shared" si="2"/>
        <v>12.6</v>
      </c>
    </row>
    <row r="136" spans="1:9" x14ac:dyDescent="0.3">
      <c r="A136" s="7" t="s">
        <v>39</v>
      </c>
      <c r="B136" s="1" t="s">
        <v>141</v>
      </c>
      <c r="C136" s="1" t="s">
        <v>147</v>
      </c>
      <c r="D136" s="1" t="s">
        <v>167</v>
      </c>
      <c r="E136" s="1">
        <v>2</v>
      </c>
      <c r="F136" s="1">
        <v>89.99</v>
      </c>
      <c r="G136" s="1">
        <v>60</v>
      </c>
      <c r="H136" s="1">
        <v>179.98</v>
      </c>
      <c r="I136">
        <f t="shared" si="2"/>
        <v>59.97999999999999</v>
      </c>
    </row>
    <row r="137" spans="1:9" x14ac:dyDescent="0.3">
      <c r="A137" s="7" t="s">
        <v>47</v>
      </c>
      <c r="B137" s="1" t="s">
        <v>142</v>
      </c>
      <c r="C137" s="1" t="s">
        <v>149</v>
      </c>
      <c r="D137" s="1" t="s">
        <v>168</v>
      </c>
      <c r="E137" s="1">
        <v>3</v>
      </c>
      <c r="F137" s="1">
        <v>129.99</v>
      </c>
      <c r="G137" s="1">
        <v>95</v>
      </c>
      <c r="H137" s="1">
        <v>389.97</v>
      </c>
      <c r="I137">
        <f t="shared" si="2"/>
        <v>104.97000000000003</v>
      </c>
    </row>
    <row r="138" spans="1:9" x14ac:dyDescent="0.3">
      <c r="A138" s="7" t="s">
        <v>87</v>
      </c>
      <c r="B138" s="1" t="s">
        <v>143</v>
      </c>
      <c r="C138" s="1" t="s">
        <v>150</v>
      </c>
      <c r="D138" s="1" t="s">
        <v>157</v>
      </c>
      <c r="E138" s="1">
        <v>5</v>
      </c>
      <c r="F138" s="1">
        <v>120</v>
      </c>
      <c r="G138" s="1">
        <v>80</v>
      </c>
      <c r="H138" s="1">
        <v>600</v>
      </c>
      <c r="I138">
        <f t="shared" si="2"/>
        <v>200</v>
      </c>
    </row>
    <row r="139" spans="1:9" x14ac:dyDescent="0.3">
      <c r="A139" s="7" t="s">
        <v>95</v>
      </c>
      <c r="B139" s="1" t="s">
        <v>144</v>
      </c>
      <c r="C139" s="1" t="s">
        <v>149</v>
      </c>
      <c r="D139" s="1" t="s">
        <v>152</v>
      </c>
      <c r="E139" s="1">
        <v>5</v>
      </c>
      <c r="F139" s="1">
        <v>45</v>
      </c>
      <c r="G139" s="1">
        <v>28</v>
      </c>
      <c r="H139" s="1">
        <v>225</v>
      </c>
      <c r="I139">
        <f t="shared" si="2"/>
        <v>85</v>
      </c>
    </row>
    <row r="140" spans="1:9" x14ac:dyDescent="0.3">
      <c r="A140" s="7" t="s">
        <v>80</v>
      </c>
      <c r="B140" s="1" t="s">
        <v>145</v>
      </c>
      <c r="C140" s="1" t="s">
        <v>150</v>
      </c>
      <c r="D140" s="1" t="s">
        <v>168</v>
      </c>
      <c r="E140" s="1">
        <v>2</v>
      </c>
      <c r="F140" s="1">
        <v>129.99</v>
      </c>
      <c r="G140" s="1">
        <v>95</v>
      </c>
      <c r="H140" s="1">
        <v>259.98</v>
      </c>
      <c r="I140">
        <f t="shared" si="2"/>
        <v>69.980000000000018</v>
      </c>
    </row>
    <row r="141" spans="1:9" x14ac:dyDescent="0.3">
      <c r="A141" s="7" t="s">
        <v>19</v>
      </c>
      <c r="B141" s="1" t="s">
        <v>146</v>
      </c>
      <c r="C141" s="1" t="s">
        <v>147</v>
      </c>
      <c r="D141" s="1" t="s">
        <v>164</v>
      </c>
      <c r="E141" s="1">
        <v>2</v>
      </c>
      <c r="F141" s="1">
        <v>39.99</v>
      </c>
      <c r="G141" s="1">
        <v>22</v>
      </c>
      <c r="H141" s="1">
        <v>79.98</v>
      </c>
      <c r="I141">
        <f t="shared" si="2"/>
        <v>35.980000000000004</v>
      </c>
    </row>
    <row r="142" spans="1:9" x14ac:dyDescent="0.3">
      <c r="A142" s="7" t="s">
        <v>65</v>
      </c>
      <c r="B142" s="1" t="s">
        <v>127</v>
      </c>
      <c r="C142" s="1" t="s">
        <v>150</v>
      </c>
      <c r="D142" s="1" t="s">
        <v>166</v>
      </c>
      <c r="E142" s="1">
        <v>1</v>
      </c>
      <c r="F142" s="1">
        <v>25</v>
      </c>
      <c r="G142" s="1">
        <v>12</v>
      </c>
      <c r="H142" s="1">
        <v>25</v>
      </c>
      <c r="I142">
        <f t="shared" si="2"/>
        <v>13</v>
      </c>
    </row>
    <row r="143" spans="1:9" x14ac:dyDescent="0.3">
      <c r="A143" s="7" t="s">
        <v>96</v>
      </c>
      <c r="B143" s="1" t="s">
        <v>128</v>
      </c>
      <c r="C143" s="1" t="s">
        <v>147</v>
      </c>
      <c r="D143" s="1" t="s">
        <v>157</v>
      </c>
      <c r="E143" s="1">
        <v>5</v>
      </c>
      <c r="F143" s="1">
        <v>120</v>
      </c>
      <c r="G143" s="1">
        <v>80</v>
      </c>
      <c r="H143" s="1">
        <v>600</v>
      </c>
      <c r="I143">
        <f t="shared" si="2"/>
        <v>200</v>
      </c>
    </row>
    <row r="144" spans="1:9" x14ac:dyDescent="0.3">
      <c r="A144" s="7" t="s">
        <v>93</v>
      </c>
      <c r="B144" s="1" t="s">
        <v>129</v>
      </c>
      <c r="C144" s="1" t="s">
        <v>150</v>
      </c>
      <c r="D144" s="1" t="s">
        <v>154</v>
      </c>
      <c r="E144" s="1">
        <v>2</v>
      </c>
      <c r="F144" s="1">
        <v>11.99</v>
      </c>
      <c r="G144" s="1">
        <v>5</v>
      </c>
      <c r="H144" s="1">
        <v>23.98</v>
      </c>
      <c r="I144">
        <f t="shared" si="2"/>
        <v>13.98</v>
      </c>
    </row>
    <row r="145" spans="1:9" x14ac:dyDescent="0.3">
      <c r="A145" s="7" t="s">
        <v>47</v>
      </c>
      <c r="B145" s="1" t="s">
        <v>130</v>
      </c>
      <c r="C145" s="1" t="s">
        <v>150</v>
      </c>
      <c r="D145" s="1" t="s">
        <v>159</v>
      </c>
      <c r="E145" s="1">
        <v>2</v>
      </c>
      <c r="F145" s="1">
        <v>145</v>
      </c>
      <c r="G145" s="1">
        <v>100</v>
      </c>
      <c r="H145" s="1">
        <v>290</v>
      </c>
      <c r="I145">
        <f t="shared" si="2"/>
        <v>90</v>
      </c>
    </row>
    <row r="146" spans="1:9" x14ac:dyDescent="0.3">
      <c r="A146" s="7" t="s">
        <v>97</v>
      </c>
      <c r="B146" s="1" t="s">
        <v>131</v>
      </c>
      <c r="C146" s="1" t="s">
        <v>148</v>
      </c>
      <c r="D146" s="1" t="s">
        <v>160</v>
      </c>
      <c r="E146" s="1">
        <v>5</v>
      </c>
      <c r="F146" s="1">
        <v>3.5</v>
      </c>
      <c r="G146" s="1">
        <v>1.2</v>
      </c>
      <c r="H146" s="1">
        <v>17.5</v>
      </c>
      <c r="I146">
        <f t="shared" si="2"/>
        <v>11.5</v>
      </c>
    </row>
    <row r="147" spans="1:9" x14ac:dyDescent="0.3">
      <c r="A147" s="7" t="s">
        <v>31</v>
      </c>
      <c r="B147" s="1" t="s">
        <v>132</v>
      </c>
      <c r="C147" s="1" t="s">
        <v>147</v>
      </c>
      <c r="D147" s="1" t="s">
        <v>156</v>
      </c>
      <c r="E147" s="1">
        <v>2</v>
      </c>
      <c r="F147" s="1">
        <v>9.99</v>
      </c>
      <c r="G147" s="1">
        <v>4.5</v>
      </c>
      <c r="H147" s="1">
        <v>19.98</v>
      </c>
      <c r="I147">
        <f t="shared" si="2"/>
        <v>10.98</v>
      </c>
    </row>
    <row r="148" spans="1:9" x14ac:dyDescent="0.3">
      <c r="A148" s="7" t="s">
        <v>98</v>
      </c>
      <c r="B148" s="1" t="s">
        <v>133</v>
      </c>
      <c r="C148" s="1" t="s">
        <v>150</v>
      </c>
      <c r="D148" s="1" t="s">
        <v>151</v>
      </c>
      <c r="E148" s="1">
        <v>4</v>
      </c>
      <c r="F148" s="1">
        <v>22.99</v>
      </c>
      <c r="G148" s="1">
        <v>14</v>
      </c>
      <c r="H148" s="1">
        <v>91.96</v>
      </c>
      <c r="I148">
        <f t="shared" si="2"/>
        <v>35.959999999999994</v>
      </c>
    </row>
    <row r="149" spans="1:9" x14ac:dyDescent="0.3">
      <c r="A149" s="7" t="s">
        <v>99</v>
      </c>
      <c r="B149" s="1" t="s">
        <v>134</v>
      </c>
      <c r="C149" s="1" t="s">
        <v>150</v>
      </c>
      <c r="D149" s="1" t="s">
        <v>151</v>
      </c>
      <c r="E149" s="1">
        <v>2</v>
      </c>
      <c r="F149" s="1">
        <v>22.99</v>
      </c>
      <c r="G149" s="1">
        <v>14</v>
      </c>
      <c r="H149" s="1">
        <v>45.98</v>
      </c>
      <c r="I149">
        <f t="shared" si="2"/>
        <v>17.979999999999997</v>
      </c>
    </row>
    <row r="150" spans="1:9" x14ac:dyDescent="0.3">
      <c r="A150" s="7" t="s">
        <v>100</v>
      </c>
      <c r="B150" s="1" t="s">
        <v>135</v>
      </c>
      <c r="C150" s="1" t="s">
        <v>148</v>
      </c>
      <c r="D150" s="1" t="s">
        <v>158</v>
      </c>
      <c r="E150" s="1">
        <v>4</v>
      </c>
      <c r="F150" s="1">
        <v>20</v>
      </c>
      <c r="G150" s="1">
        <v>12</v>
      </c>
      <c r="H150" s="1">
        <v>80</v>
      </c>
      <c r="I150">
        <f t="shared" si="2"/>
        <v>32</v>
      </c>
    </row>
    <row r="151" spans="1:9" x14ac:dyDescent="0.3">
      <c r="A151" s="7" t="s">
        <v>55</v>
      </c>
      <c r="B151" s="1" t="s">
        <v>136</v>
      </c>
      <c r="C151" s="1" t="s">
        <v>147</v>
      </c>
      <c r="D151" s="1" t="s">
        <v>161</v>
      </c>
      <c r="E151" s="1">
        <v>1</v>
      </c>
      <c r="F151" s="1">
        <v>79.989999999999995</v>
      </c>
      <c r="G151" s="1">
        <v>50</v>
      </c>
      <c r="H151" s="1">
        <v>79.989999999999995</v>
      </c>
      <c r="I151">
        <f t="shared" si="2"/>
        <v>29.989999999999995</v>
      </c>
    </row>
    <row r="152" spans="1:9" x14ac:dyDescent="0.3">
      <c r="A152" s="7" t="s">
        <v>101</v>
      </c>
      <c r="B152" s="1" t="s">
        <v>137</v>
      </c>
      <c r="C152" s="1" t="s">
        <v>148</v>
      </c>
      <c r="D152" s="1" t="s">
        <v>153</v>
      </c>
      <c r="E152" s="1">
        <v>5</v>
      </c>
      <c r="F152" s="1">
        <v>12.5</v>
      </c>
      <c r="G152" s="1">
        <v>6.2</v>
      </c>
      <c r="H152" s="1">
        <v>62.5</v>
      </c>
      <c r="I152">
        <f t="shared" si="2"/>
        <v>31.5</v>
      </c>
    </row>
    <row r="153" spans="1:9" x14ac:dyDescent="0.3">
      <c r="A153" s="7" t="s">
        <v>102</v>
      </c>
      <c r="B153" s="1" t="s">
        <v>138</v>
      </c>
      <c r="C153" s="1" t="s">
        <v>148</v>
      </c>
      <c r="D153" s="1" t="s">
        <v>158</v>
      </c>
      <c r="E153" s="1">
        <v>5</v>
      </c>
      <c r="F153" s="1">
        <v>20</v>
      </c>
      <c r="G153" s="1">
        <v>12</v>
      </c>
      <c r="H153" s="1">
        <v>100</v>
      </c>
      <c r="I153">
        <f t="shared" si="2"/>
        <v>40</v>
      </c>
    </row>
    <row r="154" spans="1:9" x14ac:dyDescent="0.3">
      <c r="A154" s="7" t="s">
        <v>103</v>
      </c>
      <c r="B154" s="1" t="s">
        <v>139</v>
      </c>
      <c r="C154" s="1" t="s">
        <v>147</v>
      </c>
      <c r="D154" s="1" t="s">
        <v>155</v>
      </c>
      <c r="E154" s="1">
        <v>2</v>
      </c>
      <c r="F154" s="1">
        <v>59.99</v>
      </c>
      <c r="G154" s="1">
        <v>35</v>
      </c>
      <c r="H154" s="1">
        <v>119.98</v>
      </c>
      <c r="I154">
        <f t="shared" si="2"/>
        <v>49.980000000000004</v>
      </c>
    </row>
    <row r="155" spans="1:9" x14ac:dyDescent="0.3">
      <c r="A155" s="7" t="s">
        <v>44</v>
      </c>
      <c r="B155" s="1" t="s">
        <v>140</v>
      </c>
      <c r="C155" s="1" t="s">
        <v>148</v>
      </c>
      <c r="D155" s="1" t="s">
        <v>157</v>
      </c>
      <c r="E155" s="1">
        <v>5</v>
      </c>
      <c r="F155" s="1">
        <v>120</v>
      </c>
      <c r="G155" s="1">
        <v>80</v>
      </c>
      <c r="H155" s="1">
        <v>600</v>
      </c>
      <c r="I155">
        <f t="shared" si="2"/>
        <v>200</v>
      </c>
    </row>
    <row r="156" spans="1:9" x14ac:dyDescent="0.3">
      <c r="A156" s="7" t="s">
        <v>53</v>
      </c>
      <c r="B156" s="1" t="s">
        <v>141</v>
      </c>
      <c r="C156" s="1" t="s">
        <v>148</v>
      </c>
      <c r="D156" s="1" t="s">
        <v>160</v>
      </c>
      <c r="E156" s="1">
        <v>2</v>
      </c>
      <c r="F156" s="1">
        <v>3.5</v>
      </c>
      <c r="G156" s="1">
        <v>1.2</v>
      </c>
      <c r="H156" s="1">
        <v>7</v>
      </c>
      <c r="I156">
        <f t="shared" si="2"/>
        <v>4.5999999999999996</v>
      </c>
    </row>
    <row r="157" spans="1:9" x14ac:dyDescent="0.3">
      <c r="A157" s="7" t="s">
        <v>67</v>
      </c>
      <c r="B157" s="1" t="s">
        <v>142</v>
      </c>
      <c r="C157" s="1" t="s">
        <v>149</v>
      </c>
      <c r="D157" s="1" t="s">
        <v>166</v>
      </c>
      <c r="E157" s="1">
        <v>2</v>
      </c>
      <c r="F157" s="1">
        <v>25</v>
      </c>
      <c r="G157" s="1">
        <v>12</v>
      </c>
      <c r="H157" s="1">
        <v>50</v>
      </c>
      <c r="I157">
        <f t="shared" si="2"/>
        <v>26</v>
      </c>
    </row>
    <row r="158" spans="1:9" x14ac:dyDescent="0.3">
      <c r="A158" s="7" t="s">
        <v>68</v>
      </c>
      <c r="B158" s="1" t="s">
        <v>143</v>
      </c>
      <c r="C158" s="1" t="s">
        <v>150</v>
      </c>
      <c r="D158" s="1" t="s">
        <v>168</v>
      </c>
      <c r="E158" s="1">
        <v>1</v>
      </c>
      <c r="F158" s="1">
        <v>129.99</v>
      </c>
      <c r="G158" s="1">
        <v>95</v>
      </c>
      <c r="H158" s="1">
        <v>129.99</v>
      </c>
      <c r="I158">
        <f t="shared" si="2"/>
        <v>34.990000000000009</v>
      </c>
    </row>
    <row r="159" spans="1:9" x14ac:dyDescent="0.3">
      <c r="A159" s="7" t="s">
        <v>86</v>
      </c>
      <c r="B159" s="1" t="s">
        <v>144</v>
      </c>
      <c r="C159" s="1" t="s">
        <v>148</v>
      </c>
      <c r="D159" s="1" t="s">
        <v>164</v>
      </c>
      <c r="E159" s="1">
        <v>2</v>
      </c>
      <c r="F159" s="1">
        <v>39.99</v>
      </c>
      <c r="G159" s="1">
        <v>22</v>
      </c>
      <c r="H159" s="1">
        <v>79.98</v>
      </c>
      <c r="I159">
        <f t="shared" si="2"/>
        <v>35.980000000000004</v>
      </c>
    </row>
    <row r="160" spans="1:9" x14ac:dyDescent="0.3">
      <c r="A160" s="7" t="s">
        <v>104</v>
      </c>
      <c r="B160" s="1" t="s">
        <v>145</v>
      </c>
      <c r="C160" s="1" t="s">
        <v>148</v>
      </c>
      <c r="D160" s="1" t="s">
        <v>155</v>
      </c>
      <c r="E160" s="1">
        <v>4</v>
      </c>
      <c r="F160" s="1">
        <v>59.99</v>
      </c>
      <c r="G160" s="1">
        <v>35</v>
      </c>
      <c r="H160" s="1">
        <v>239.96</v>
      </c>
      <c r="I160">
        <f t="shared" si="2"/>
        <v>99.960000000000008</v>
      </c>
    </row>
    <row r="161" spans="1:9" x14ac:dyDescent="0.3">
      <c r="A161" s="7" t="s">
        <v>94</v>
      </c>
      <c r="B161" s="1" t="s">
        <v>146</v>
      </c>
      <c r="C161" s="1" t="s">
        <v>149</v>
      </c>
      <c r="D161" s="1" t="s">
        <v>162</v>
      </c>
      <c r="E161" s="1">
        <v>3</v>
      </c>
      <c r="F161" s="1">
        <v>34.99</v>
      </c>
      <c r="G161" s="1">
        <v>18</v>
      </c>
      <c r="H161" s="1">
        <v>104.97</v>
      </c>
      <c r="I161">
        <f t="shared" si="2"/>
        <v>50.97</v>
      </c>
    </row>
    <row r="162" spans="1:9" x14ac:dyDescent="0.3">
      <c r="A162" s="7" t="s">
        <v>92</v>
      </c>
      <c r="B162" s="1" t="s">
        <v>127</v>
      </c>
      <c r="C162" s="1" t="s">
        <v>149</v>
      </c>
      <c r="D162" s="1" t="s">
        <v>165</v>
      </c>
      <c r="E162" s="1">
        <v>1</v>
      </c>
      <c r="F162" s="1">
        <v>18</v>
      </c>
      <c r="G162" s="1">
        <v>9</v>
      </c>
      <c r="H162" s="1">
        <v>18</v>
      </c>
      <c r="I162">
        <f t="shared" si="2"/>
        <v>9</v>
      </c>
    </row>
    <row r="163" spans="1:9" x14ac:dyDescent="0.3">
      <c r="A163" s="7" t="s">
        <v>22</v>
      </c>
      <c r="B163" s="1" t="s">
        <v>128</v>
      </c>
      <c r="C163" s="1" t="s">
        <v>148</v>
      </c>
      <c r="D163" s="1" t="s">
        <v>159</v>
      </c>
      <c r="E163" s="1">
        <v>4</v>
      </c>
      <c r="F163" s="1">
        <v>145</v>
      </c>
      <c r="G163" s="1">
        <v>100</v>
      </c>
      <c r="H163" s="1">
        <v>580</v>
      </c>
      <c r="I163">
        <f t="shared" si="2"/>
        <v>180</v>
      </c>
    </row>
    <row r="164" spans="1:9" x14ac:dyDescent="0.3">
      <c r="A164" s="7" t="s">
        <v>105</v>
      </c>
      <c r="B164" s="1" t="s">
        <v>129</v>
      </c>
      <c r="C164" s="1" t="s">
        <v>149</v>
      </c>
      <c r="D164" s="1" t="s">
        <v>164</v>
      </c>
      <c r="E164" s="1">
        <v>2</v>
      </c>
      <c r="F164" s="1">
        <v>39.99</v>
      </c>
      <c r="G164" s="1">
        <v>22</v>
      </c>
      <c r="H164" s="1">
        <v>79.98</v>
      </c>
      <c r="I164">
        <f t="shared" si="2"/>
        <v>35.980000000000004</v>
      </c>
    </row>
    <row r="165" spans="1:9" x14ac:dyDescent="0.3">
      <c r="A165" s="7" t="s">
        <v>45</v>
      </c>
      <c r="B165" s="1" t="s">
        <v>130</v>
      </c>
      <c r="C165" s="1" t="s">
        <v>149</v>
      </c>
      <c r="D165" s="1" t="s">
        <v>166</v>
      </c>
      <c r="E165" s="1">
        <v>1</v>
      </c>
      <c r="F165" s="1">
        <v>25</v>
      </c>
      <c r="G165" s="1">
        <v>12</v>
      </c>
      <c r="H165" s="1">
        <v>25</v>
      </c>
      <c r="I165">
        <f t="shared" si="2"/>
        <v>13</v>
      </c>
    </row>
    <row r="166" spans="1:9" x14ac:dyDescent="0.3">
      <c r="A166" s="7" t="s">
        <v>12</v>
      </c>
      <c r="B166" s="1" t="s">
        <v>131</v>
      </c>
      <c r="C166" s="1" t="s">
        <v>148</v>
      </c>
      <c r="D166" s="1" t="s">
        <v>157</v>
      </c>
      <c r="E166" s="1">
        <v>2</v>
      </c>
      <c r="F166" s="1">
        <v>120</v>
      </c>
      <c r="G166" s="1">
        <v>80</v>
      </c>
      <c r="H166" s="1">
        <v>240</v>
      </c>
      <c r="I166">
        <f t="shared" si="2"/>
        <v>80</v>
      </c>
    </row>
    <row r="167" spans="1:9" x14ac:dyDescent="0.3">
      <c r="A167" s="7" t="s">
        <v>85</v>
      </c>
      <c r="B167" s="1" t="s">
        <v>132</v>
      </c>
      <c r="C167" s="1" t="s">
        <v>150</v>
      </c>
      <c r="D167" s="1" t="s">
        <v>152</v>
      </c>
      <c r="E167" s="1">
        <v>3</v>
      </c>
      <c r="F167" s="1">
        <v>45</v>
      </c>
      <c r="G167" s="1">
        <v>28</v>
      </c>
      <c r="H167" s="1">
        <v>135</v>
      </c>
      <c r="I167">
        <f t="shared" si="2"/>
        <v>51</v>
      </c>
    </row>
    <row r="168" spans="1:9" x14ac:dyDescent="0.3">
      <c r="A168" s="7" t="s">
        <v>72</v>
      </c>
      <c r="B168" s="1" t="s">
        <v>133</v>
      </c>
      <c r="C168" s="1" t="s">
        <v>148</v>
      </c>
      <c r="D168" s="1" t="s">
        <v>156</v>
      </c>
      <c r="E168" s="1">
        <v>4</v>
      </c>
      <c r="F168" s="1">
        <v>9.99</v>
      </c>
      <c r="G168" s="1">
        <v>4.5</v>
      </c>
      <c r="H168" s="1">
        <v>39.96</v>
      </c>
      <c r="I168">
        <f t="shared" si="2"/>
        <v>21.96</v>
      </c>
    </row>
    <row r="169" spans="1:9" x14ac:dyDescent="0.3">
      <c r="A169" s="7" t="s">
        <v>78</v>
      </c>
      <c r="B169" s="1" t="s">
        <v>134</v>
      </c>
      <c r="C169" s="1" t="s">
        <v>149</v>
      </c>
      <c r="D169" s="1" t="s">
        <v>162</v>
      </c>
      <c r="E169" s="1">
        <v>3</v>
      </c>
      <c r="F169" s="1">
        <v>34.99</v>
      </c>
      <c r="G169" s="1">
        <v>18</v>
      </c>
      <c r="H169" s="1">
        <v>104.97</v>
      </c>
      <c r="I169">
        <f t="shared" si="2"/>
        <v>50.97</v>
      </c>
    </row>
    <row r="170" spans="1:9" x14ac:dyDescent="0.3">
      <c r="A170" s="7" t="s">
        <v>8</v>
      </c>
      <c r="B170" s="1" t="s">
        <v>135</v>
      </c>
      <c r="C170" s="1" t="s">
        <v>148</v>
      </c>
      <c r="D170" s="1" t="s">
        <v>168</v>
      </c>
      <c r="E170" s="1">
        <v>2</v>
      </c>
      <c r="F170" s="1">
        <v>129.99</v>
      </c>
      <c r="G170" s="1">
        <v>95</v>
      </c>
      <c r="H170" s="1">
        <v>259.98</v>
      </c>
      <c r="I170">
        <f t="shared" si="2"/>
        <v>69.980000000000018</v>
      </c>
    </row>
    <row r="171" spans="1:9" x14ac:dyDescent="0.3">
      <c r="A171" s="7" t="s">
        <v>72</v>
      </c>
      <c r="B171" s="1" t="s">
        <v>136</v>
      </c>
      <c r="C171" s="1" t="s">
        <v>147</v>
      </c>
      <c r="D171" s="1" t="s">
        <v>162</v>
      </c>
      <c r="E171" s="1">
        <v>1</v>
      </c>
      <c r="F171" s="1">
        <v>34.99</v>
      </c>
      <c r="G171" s="1">
        <v>18</v>
      </c>
      <c r="H171" s="1">
        <v>34.99</v>
      </c>
      <c r="I171">
        <f t="shared" si="2"/>
        <v>16.990000000000002</v>
      </c>
    </row>
    <row r="172" spans="1:9" x14ac:dyDescent="0.3">
      <c r="A172" s="7" t="s">
        <v>19</v>
      </c>
      <c r="B172" s="1" t="s">
        <v>137</v>
      </c>
      <c r="C172" s="1" t="s">
        <v>148</v>
      </c>
      <c r="D172" s="1" t="s">
        <v>170</v>
      </c>
      <c r="E172" s="1">
        <v>3</v>
      </c>
      <c r="F172" s="1">
        <v>2.99</v>
      </c>
      <c r="G172" s="1">
        <v>1</v>
      </c>
      <c r="H172" s="1">
        <v>8.9700000000000006</v>
      </c>
      <c r="I172">
        <f t="shared" si="2"/>
        <v>5.9700000000000006</v>
      </c>
    </row>
    <row r="173" spans="1:9" x14ac:dyDescent="0.3">
      <c r="A173" s="7" t="s">
        <v>26</v>
      </c>
      <c r="B173" s="1" t="s">
        <v>138</v>
      </c>
      <c r="C173" s="1" t="s">
        <v>150</v>
      </c>
      <c r="D173" s="1" t="s">
        <v>151</v>
      </c>
      <c r="E173" s="1">
        <v>4</v>
      </c>
      <c r="F173" s="1">
        <v>22.99</v>
      </c>
      <c r="G173" s="1">
        <v>14</v>
      </c>
      <c r="H173" s="1">
        <v>91.96</v>
      </c>
      <c r="I173">
        <f t="shared" si="2"/>
        <v>35.959999999999994</v>
      </c>
    </row>
    <row r="174" spans="1:9" x14ac:dyDescent="0.3">
      <c r="A174" s="7" t="s">
        <v>106</v>
      </c>
      <c r="B174" s="1" t="s">
        <v>139</v>
      </c>
      <c r="C174" s="1" t="s">
        <v>147</v>
      </c>
      <c r="D174" s="1" t="s">
        <v>151</v>
      </c>
      <c r="E174" s="1">
        <v>1</v>
      </c>
      <c r="F174" s="1">
        <v>22.99</v>
      </c>
      <c r="G174" s="1">
        <v>14</v>
      </c>
      <c r="H174" s="1">
        <v>22.99</v>
      </c>
      <c r="I174">
        <f t="shared" si="2"/>
        <v>8.9899999999999984</v>
      </c>
    </row>
    <row r="175" spans="1:9" x14ac:dyDescent="0.3">
      <c r="A175" s="7" t="s">
        <v>21</v>
      </c>
      <c r="B175" s="1" t="s">
        <v>140</v>
      </c>
      <c r="C175" s="1" t="s">
        <v>148</v>
      </c>
      <c r="D175" s="1" t="s">
        <v>163</v>
      </c>
      <c r="E175" s="1">
        <v>4</v>
      </c>
      <c r="F175" s="1">
        <v>14.99</v>
      </c>
      <c r="G175" s="1">
        <v>8</v>
      </c>
      <c r="H175" s="1">
        <v>59.96</v>
      </c>
      <c r="I175">
        <f t="shared" si="2"/>
        <v>27.96</v>
      </c>
    </row>
    <row r="176" spans="1:9" x14ac:dyDescent="0.3">
      <c r="A176" s="7" t="s">
        <v>30</v>
      </c>
      <c r="B176" s="1" t="s">
        <v>141</v>
      </c>
      <c r="C176" s="1" t="s">
        <v>149</v>
      </c>
      <c r="D176" s="1" t="s">
        <v>155</v>
      </c>
      <c r="E176" s="1">
        <v>4</v>
      </c>
      <c r="F176" s="1">
        <v>59.99</v>
      </c>
      <c r="G176" s="1">
        <v>35</v>
      </c>
      <c r="H176" s="1">
        <v>239.96</v>
      </c>
      <c r="I176">
        <f t="shared" si="2"/>
        <v>99.960000000000008</v>
      </c>
    </row>
    <row r="177" spans="1:9" x14ac:dyDescent="0.3">
      <c r="A177" s="7" t="s">
        <v>20</v>
      </c>
      <c r="B177" s="1" t="s">
        <v>142</v>
      </c>
      <c r="C177" s="1" t="s">
        <v>150</v>
      </c>
      <c r="D177" s="1" t="s">
        <v>151</v>
      </c>
      <c r="E177" s="1">
        <v>2</v>
      </c>
      <c r="F177" s="1">
        <v>22.99</v>
      </c>
      <c r="G177" s="1">
        <v>14</v>
      </c>
      <c r="H177" s="1">
        <v>45.98</v>
      </c>
      <c r="I177">
        <f t="shared" si="2"/>
        <v>17.979999999999997</v>
      </c>
    </row>
    <row r="178" spans="1:9" x14ac:dyDescent="0.3">
      <c r="A178" s="7" t="s">
        <v>61</v>
      </c>
      <c r="B178" s="1" t="s">
        <v>143</v>
      </c>
      <c r="C178" s="1" t="s">
        <v>149</v>
      </c>
      <c r="D178" s="1" t="s">
        <v>154</v>
      </c>
      <c r="E178" s="1">
        <v>2</v>
      </c>
      <c r="F178" s="1">
        <v>11.99</v>
      </c>
      <c r="G178" s="1">
        <v>5</v>
      </c>
      <c r="H178" s="1">
        <v>23.98</v>
      </c>
      <c r="I178">
        <f t="shared" si="2"/>
        <v>13.98</v>
      </c>
    </row>
    <row r="179" spans="1:9" x14ac:dyDescent="0.3">
      <c r="A179" s="7" t="s">
        <v>55</v>
      </c>
      <c r="B179" s="1" t="s">
        <v>144</v>
      </c>
      <c r="C179" s="1" t="s">
        <v>148</v>
      </c>
      <c r="D179" s="1" t="s">
        <v>163</v>
      </c>
      <c r="E179" s="1">
        <v>1</v>
      </c>
      <c r="F179" s="1">
        <v>14.99</v>
      </c>
      <c r="G179" s="1">
        <v>8</v>
      </c>
      <c r="H179" s="1">
        <v>14.99</v>
      </c>
      <c r="I179">
        <f t="shared" si="2"/>
        <v>6.99</v>
      </c>
    </row>
    <row r="180" spans="1:9" x14ac:dyDescent="0.3">
      <c r="A180" s="7" t="s">
        <v>35</v>
      </c>
      <c r="B180" s="1" t="s">
        <v>145</v>
      </c>
      <c r="C180" s="1" t="s">
        <v>149</v>
      </c>
      <c r="D180" s="1" t="s">
        <v>166</v>
      </c>
      <c r="E180" s="1">
        <v>2</v>
      </c>
      <c r="F180" s="1">
        <v>25</v>
      </c>
      <c r="G180" s="1">
        <v>12</v>
      </c>
      <c r="H180" s="1">
        <v>50</v>
      </c>
      <c r="I180">
        <f t="shared" si="2"/>
        <v>26</v>
      </c>
    </row>
    <row r="181" spans="1:9" x14ac:dyDescent="0.3">
      <c r="A181" s="7" t="s">
        <v>97</v>
      </c>
      <c r="B181" s="1" t="s">
        <v>146</v>
      </c>
      <c r="C181" s="1" t="s">
        <v>148</v>
      </c>
      <c r="D181" s="1" t="s">
        <v>154</v>
      </c>
      <c r="E181" s="1">
        <v>1</v>
      </c>
      <c r="F181" s="1">
        <v>11.99</v>
      </c>
      <c r="G181" s="1">
        <v>5</v>
      </c>
      <c r="H181" s="1">
        <v>11.99</v>
      </c>
      <c r="I181">
        <f t="shared" si="2"/>
        <v>6.99</v>
      </c>
    </row>
    <row r="182" spans="1:9" x14ac:dyDescent="0.3">
      <c r="A182" s="7" t="s">
        <v>52</v>
      </c>
      <c r="B182" s="1" t="s">
        <v>127</v>
      </c>
      <c r="C182" s="1" t="s">
        <v>149</v>
      </c>
      <c r="D182" s="1" t="s">
        <v>163</v>
      </c>
      <c r="E182" s="1">
        <v>1</v>
      </c>
      <c r="F182" s="1">
        <v>14.99</v>
      </c>
      <c r="G182" s="1">
        <v>8</v>
      </c>
      <c r="H182" s="1">
        <v>14.99</v>
      </c>
      <c r="I182">
        <f t="shared" si="2"/>
        <v>6.99</v>
      </c>
    </row>
    <row r="183" spans="1:9" x14ac:dyDescent="0.3">
      <c r="A183" s="7" t="s">
        <v>82</v>
      </c>
      <c r="B183" s="1" t="s">
        <v>128</v>
      </c>
      <c r="C183" s="1" t="s">
        <v>148</v>
      </c>
      <c r="D183" s="1" t="s">
        <v>164</v>
      </c>
      <c r="E183" s="1">
        <v>2</v>
      </c>
      <c r="F183" s="1">
        <v>39.99</v>
      </c>
      <c r="G183" s="1">
        <v>22</v>
      </c>
      <c r="H183" s="1">
        <v>79.98</v>
      </c>
      <c r="I183">
        <f t="shared" si="2"/>
        <v>35.980000000000004</v>
      </c>
    </row>
    <row r="184" spans="1:9" x14ac:dyDescent="0.3">
      <c r="A184" s="7" t="s">
        <v>39</v>
      </c>
      <c r="B184" s="1" t="s">
        <v>129</v>
      </c>
      <c r="C184" s="1" t="s">
        <v>148</v>
      </c>
      <c r="D184" s="1" t="s">
        <v>162</v>
      </c>
      <c r="E184" s="1">
        <v>1</v>
      </c>
      <c r="F184" s="1">
        <v>34.99</v>
      </c>
      <c r="G184" s="1">
        <v>18</v>
      </c>
      <c r="H184" s="1">
        <v>34.99</v>
      </c>
      <c r="I184">
        <f t="shared" si="2"/>
        <v>16.990000000000002</v>
      </c>
    </row>
    <row r="185" spans="1:9" x14ac:dyDescent="0.3">
      <c r="A185" s="7" t="s">
        <v>101</v>
      </c>
      <c r="B185" s="1" t="s">
        <v>130</v>
      </c>
      <c r="C185" s="1" t="s">
        <v>150</v>
      </c>
      <c r="D185" s="1" t="s">
        <v>157</v>
      </c>
      <c r="E185" s="1">
        <v>4</v>
      </c>
      <c r="F185" s="1">
        <v>120</v>
      </c>
      <c r="G185" s="1">
        <v>80</v>
      </c>
      <c r="H185" s="1">
        <v>480</v>
      </c>
      <c r="I185">
        <f t="shared" si="2"/>
        <v>160</v>
      </c>
    </row>
    <row r="186" spans="1:9" x14ac:dyDescent="0.3">
      <c r="A186" s="7" t="s">
        <v>107</v>
      </c>
      <c r="B186" s="1" t="s">
        <v>131</v>
      </c>
      <c r="C186" s="1" t="s">
        <v>149</v>
      </c>
      <c r="D186" s="1" t="s">
        <v>154</v>
      </c>
      <c r="E186" s="1">
        <v>3</v>
      </c>
      <c r="F186" s="1">
        <v>11.99</v>
      </c>
      <c r="G186" s="1">
        <v>5</v>
      </c>
      <c r="H186" s="1">
        <v>35.97</v>
      </c>
      <c r="I186">
        <f t="shared" si="2"/>
        <v>20.97</v>
      </c>
    </row>
    <row r="187" spans="1:9" x14ac:dyDescent="0.3">
      <c r="A187" s="7" t="s">
        <v>52</v>
      </c>
      <c r="B187" s="1" t="s">
        <v>132</v>
      </c>
      <c r="C187" s="1" t="s">
        <v>149</v>
      </c>
      <c r="D187" s="1" t="s">
        <v>158</v>
      </c>
      <c r="E187" s="1">
        <v>5</v>
      </c>
      <c r="F187" s="1">
        <v>20</v>
      </c>
      <c r="G187" s="1">
        <v>12</v>
      </c>
      <c r="H187" s="1">
        <v>100</v>
      </c>
      <c r="I187">
        <f t="shared" si="2"/>
        <v>40</v>
      </c>
    </row>
    <row r="188" spans="1:9" x14ac:dyDescent="0.3">
      <c r="A188" s="7" t="s">
        <v>24</v>
      </c>
      <c r="B188" s="1" t="s">
        <v>133</v>
      </c>
      <c r="C188" s="1" t="s">
        <v>147</v>
      </c>
      <c r="D188" s="1" t="s">
        <v>162</v>
      </c>
      <c r="E188" s="1">
        <v>3</v>
      </c>
      <c r="F188" s="1">
        <v>34.99</v>
      </c>
      <c r="G188" s="1">
        <v>18</v>
      </c>
      <c r="H188" s="1">
        <v>104.97</v>
      </c>
      <c r="I188">
        <f t="shared" si="2"/>
        <v>50.97</v>
      </c>
    </row>
    <row r="189" spans="1:9" x14ac:dyDescent="0.3">
      <c r="A189" s="7" t="s">
        <v>81</v>
      </c>
      <c r="B189" s="1" t="s">
        <v>134</v>
      </c>
      <c r="C189" s="1" t="s">
        <v>148</v>
      </c>
      <c r="D189" s="1" t="s">
        <v>170</v>
      </c>
      <c r="E189" s="1">
        <v>1</v>
      </c>
      <c r="F189" s="1">
        <v>2.99</v>
      </c>
      <c r="G189" s="1">
        <v>1</v>
      </c>
      <c r="H189" s="1">
        <v>2.99</v>
      </c>
      <c r="I189">
        <f t="shared" si="2"/>
        <v>1.9900000000000002</v>
      </c>
    </row>
    <row r="190" spans="1:9" x14ac:dyDescent="0.3">
      <c r="A190" s="7" t="s">
        <v>40</v>
      </c>
      <c r="B190" s="1" t="s">
        <v>135</v>
      </c>
      <c r="C190" s="1" t="s">
        <v>147</v>
      </c>
      <c r="D190" s="1" t="s">
        <v>165</v>
      </c>
      <c r="E190" s="1">
        <v>5</v>
      </c>
      <c r="F190" s="1">
        <v>18</v>
      </c>
      <c r="G190" s="1">
        <v>9</v>
      </c>
      <c r="H190" s="1">
        <v>90</v>
      </c>
      <c r="I190">
        <f t="shared" si="2"/>
        <v>45</v>
      </c>
    </row>
    <row r="191" spans="1:9" x14ac:dyDescent="0.3">
      <c r="A191" s="7" t="s">
        <v>80</v>
      </c>
      <c r="B191" s="1" t="s">
        <v>136</v>
      </c>
      <c r="C191" s="1" t="s">
        <v>147</v>
      </c>
      <c r="D191" s="1" t="s">
        <v>155</v>
      </c>
      <c r="E191" s="1">
        <v>5</v>
      </c>
      <c r="F191" s="1">
        <v>59.99</v>
      </c>
      <c r="G191" s="1">
        <v>35</v>
      </c>
      <c r="H191" s="1">
        <v>299.95</v>
      </c>
      <c r="I191">
        <f t="shared" si="2"/>
        <v>124.94999999999999</v>
      </c>
    </row>
    <row r="192" spans="1:9" x14ac:dyDescent="0.3">
      <c r="A192" s="7" t="s">
        <v>108</v>
      </c>
      <c r="B192" s="1" t="s">
        <v>137</v>
      </c>
      <c r="C192" s="1" t="s">
        <v>150</v>
      </c>
      <c r="D192" s="1" t="s">
        <v>156</v>
      </c>
      <c r="E192" s="1">
        <v>1</v>
      </c>
      <c r="F192" s="1">
        <v>9.99</v>
      </c>
      <c r="G192" s="1">
        <v>4.5</v>
      </c>
      <c r="H192" s="1">
        <v>9.99</v>
      </c>
      <c r="I192">
        <f t="shared" si="2"/>
        <v>5.49</v>
      </c>
    </row>
    <row r="193" spans="1:9" x14ac:dyDescent="0.3">
      <c r="A193" s="7" t="s">
        <v>22</v>
      </c>
      <c r="B193" s="1" t="s">
        <v>138</v>
      </c>
      <c r="C193" s="1" t="s">
        <v>147</v>
      </c>
      <c r="D193" s="1" t="s">
        <v>164</v>
      </c>
      <c r="E193" s="1">
        <v>3</v>
      </c>
      <c r="F193" s="1">
        <v>39.99</v>
      </c>
      <c r="G193" s="1">
        <v>22</v>
      </c>
      <c r="H193" s="1">
        <v>119.97</v>
      </c>
      <c r="I193">
        <f t="shared" si="2"/>
        <v>53.97</v>
      </c>
    </row>
    <row r="194" spans="1:9" x14ac:dyDescent="0.3">
      <c r="A194" s="7" t="s">
        <v>108</v>
      </c>
      <c r="B194" s="1" t="s">
        <v>139</v>
      </c>
      <c r="C194" s="1" t="s">
        <v>149</v>
      </c>
      <c r="D194" s="1" t="s">
        <v>156</v>
      </c>
      <c r="E194" s="1">
        <v>4</v>
      </c>
      <c r="F194" s="1">
        <v>9.99</v>
      </c>
      <c r="G194" s="1">
        <v>4.5</v>
      </c>
      <c r="H194" s="1">
        <v>39.96</v>
      </c>
      <c r="I194">
        <f t="shared" si="2"/>
        <v>21.96</v>
      </c>
    </row>
    <row r="195" spans="1:9" x14ac:dyDescent="0.3">
      <c r="A195" s="7" t="s">
        <v>57</v>
      </c>
      <c r="B195" s="1" t="s">
        <v>140</v>
      </c>
      <c r="C195" s="1" t="s">
        <v>147</v>
      </c>
      <c r="D195" s="1" t="s">
        <v>166</v>
      </c>
      <c r="E195" s="1">
        <v>2</v>
      </c>
      <c r="F195" s="1">
        <v>25</v>
      </c>
      <c r="G195" s="1">
        <v>12</v>
      </c>
      <c r="H195" s="1">
        <v>50</v>
      </c>
      <c r="I195">
        <f t="shared" ref="I195:I258" si="3">H195-(G195*E195)</f>
        <v>26</v>
      </c>
    </row>
    <row r="196" spans="1:9" x14ac:dyDescent="0.3">
      <c r="A196" s="7" t="s">
        <v>25</v>
      </c>
      <c r="B196" s="1" t="s">
        <v>141</v>
      </c>
      <c r="C196" s="1" t="s">
        <v>149</v>
      </c>
      <c r="D196" s="1" t="s">
        <v>153</v>
      </c>
      <c r="E196" s="1">
        <v>2</v>
      </c>
      <c r="F196" s="1">
        <v>12.5</v>
      </c>
      <c r="G196" s="1">
        <v>6.2</v>
      </c>
      <c r="H196" s="1">
        <v>25</v>
      </c>
      <c r="I196">
        <f t="shared" si="3"/>
        <v>12.6</v>
      </c>
    </row>
    <row r="197" spans="1:9" x14ac:dyDescent="0.3">
      <c r="A197" s="7" t="s">
        <v>109</v>
      </c>
      <c r="B197" s="1" t="s">
        <v>142</v>
      </c>
      <c r="C197" s="1" t="s">
        <v>150</v>
      </c>
      <c r="D197" s="1" t="s">
        <v>162</v>
      </c>
      <c r="E197" s="1">
        <v>2</v>
      </c>
      <c r="F197" s="1">
        <v>34.99</v>
      </c>
      <c r="G197" s="1">
        <v>18</v>
      </c>
      <c r="H197" s="1">
        <v>69.98</v>
      </c>
      <c r="I197">
        <f t="shared" si="3"/>
        <v>33.980000000000004</v>
      </c>
    </row>
    <row r="198" spans="1:9" x14ac:dyDescent="0.3">
      <c r="A198" s="7" t="s">
        <v>51</v>
      </c>
      <c r="B198" s="1" t="s">
        <v>143</v>
      </c>
      <c r="C198" s="1" t="s">
        <v>149</v>
      </c>
      <c r="D198" s="1" t="s">
        <v>162</v>
      </c>
      <c r="E198" s="1">
        <v>1</v>
      </c>
      <c r="F198" s="1">
        <v>34.99</v>
      </c>
      <c r="G198" s="1">
        <v>18</v>
      </c>
      <c r="H198" s="1">
        <v>34.99</v>
      </c>
      <c r="I198">
        <f t="shared" si="3"/>
        <v>16.990000000000002</v>
      </c>
    </row>
    <row r="199" spans="1:9" x14ac:dyDescent="0.3">
      <c r="A199" s="7" t="s">
        <v>65</v>
      </c>
      <c r="B199" s="1" t="s">
        <v>144</v>
      </c>
      <c r="C199" s="1" t="s">
        <v>147</v>
      </c>
      <c r="D199" s="1" t="s">
        <v>166</v>
      </c>
      <c r="E199" s="1">
        <v>1</v>
      </c>
      <c r="F199" s="1">
        <v>25</v>
      </c>
      <c r="G199" s="1">
        <v>12</v>
      </c>
      <c r="H199" s="1">
        <v>25</v>
      </c>
      <c r="I199">
        <f t="shared" si="3"/>
        <v>13</v>
      </c>
    </row>
    <row r="200" spans="1:9" x14ac:dyDescent="0.3">
      <c r="A200" s="7" t="s">
        <v>47</v>
      </c>
      <c r="B200" s="1" t="s">
        <v>145</v>
      </c>
      <c r="C200" s="1" t="s">
        <v>147</v>
      </c>
      <c r="D200" s="1" t="s">
        <v>162</v>
      </c>
      <c r="E200" s="1">
        <v>1</v>
      </c>
      <c r="F200" s="1">
        <v>34.99</v>
      </c>
      <c r="G200" s="1">
        <v>18</v>
      </c>
      <c r="H200" s="1">
        <v>34.99</v>
      </c>
      <c r="I200">
        <f t="shared" si="3"/>
        <v>16.990000000000002</v>
      </c>
    </row>
    <row r="201" spans="1:9" x14ac:dyDescent="0.3">
      <c r="A201" s="7" t="s">
        <v>13</v>
      </c>
      <c r="B201" s="1" t="s">
        <v>146</v>
      </c>
      <c r="C201" s="1" t="s">
        <v>148</v>
      </c>
      <c r="D201" s="1" t="s">
        <v>152</v>
      </c>
      <c r="E201" s="1">
        <v>3</v>
      </c>
      <c r="F201" s="1">
        <v>45</v>
      </c>
      <c r="G201" s="1">
        <v>28</v>
      </c>
      <c r="H201" s="1">
        <v>135</v>
      </c>
      <c r="I201">
        <f t="shared" si="3"/>
        <v>51</v>
      </c>
    </row>
    <row r="202" spans="1:9" x14ac:dyDescent="0.3">
      <c r="A202" s="7" t="s">
        <v>42</v>
      </c>
      <c r="B202" s="1" t="s">
        <v>127</v>
      </c>
      <c r="C202" s="1" t="s">
        <v>148</v>
      </c>
      <c r="D202" s="1" t="s">
        <v>153</v>
      </c>
      <c r="E202" s="1">
        <v>3</v>
      </c>
      <c r="F202" s="1">
        <v>12.5</v>
      </c>
      <c r="G202" s="1">
        <v>6.2</v>
      </c>
      <c r="H202" s="1">
        <v>37.5</v>
      </c>
      <c r="I202">
        <f t="shared" si="3"/>
        <v>18.899999999999999</v>
      </c>
    </row>
    <row r="203" spans="1:9" x14ac:dyDescent="0.3">
      <c r="A203" s="7" t="s">
        <v>47</v>
      </c>
      <c r="B203" s="1" t="s">
        <v>128</v>
      </c>
      <c r="C203" s="1" t="s">
        <v>147</v>
      </c>
      <c r="D203" s="1" t="s">
        <v>158</v>
      </c>
      <c r="E203" s="1">
        <v>4</v>
      </c>
      <c r="F203" s="1">
        <v>20</v>
      </c>
      <c r="G203" s="1">
        <v>12</v>
      </c>
      <c r="H203" s="1">
        <v>80</v>
      </c>
      <c r="I203">
        <f t="shared" si="3"/>
        <v>32</v>
      </c>
    </row>
    <row r="204" spans="1:9" x14ac:dyDescent="0.3">
      <c r="A204" s="7" t="s">
        <v>69</v>
      </c>
      <c r="B204" s="1" t="s">
        <v>129</v>
      </c>
      <c r="C204" s="1" t="s">
        <v>150</v>
      </c>
      <c r="D204" s="1" t="s">
        <v>151</v>
      </c>
      <c r="E204" s="1">
        <v>1</v>
      </c>
      <c r="F204" s="1">
        <v>22.99</v>
      </c>
      <c r="G204" s="1">
        <v>14</v>
      </c>
      <c r="H204" s="1">
        <v>22.99</v>
      </c>
      <c r="I204">
        <f t="shared" si="3"/>
        <v>8.9899999999999984</v>
      </c>
    </row>
    <row r="205" spans="1:9" x14ac:dyDescent="0.3">
      <c r="A205" s="7" t="s">
        <v>8</v>
      </c>
      <c r="B205" s="1" t="s">
        <v>130</v>
      </c>
      <c r="C205" s="1" t="s">
        <v>147</v>
      </c>
      <c r="D205" s="1" t="s">
        <v>162</v>
      </c>
      <c r="E205" s="1">
        <v>5</v>
      </c>
      <c r="F205" s="1">
        <v>34.99</v>
      </c>
      <c r="G205" s="1">
        <v>18</v>
      </c>
      <c r="H205" s="1">
        <v>174.95</v>
      </c>
      <c r="I205">
        <f t="shared" si="3"/>
        <v>84.949999999999989</v>
      </c>
    </row>
    <row r="206" spans="1:9" x14ac:dyDescent="0.3">
      <c r="A206" s="7" t="s">
        <v>53</v>
      </c>
      <c r="B206" s="1" t="s">
        <v>131</v>
      </c>
      <c r="C206" s="1" t="s">
        <v>147</v>
      </c>
      <c r="D206" s="1" t="s">
        <v>153</v>
      </c>
      <c r="E206" s="1">
        <v>2</v>
      </c>
      <c r="F206" s="1">
        <v>12.5</v>
      </c>
      <c r="G206" s="1">
        <v>6.2</v>
      </c>
      <c r="H206" s="1">
        <v>25</v>
      </c>
      <c r="I206">
        <f t="shared" si="3"/>
        <v>12.6</v>
      </c>
    </row>
    <row r="207" spans="1:9" x14ac:dyDescent="0.3">
      <c r="A207" s="7" t="s">
        <v>22</v>
      </c>
      <c r="B207" s="1" t="s">
        <v>132</v>
      </c>
      <c r="C207" s="1" t="s">
        <v>149</v>
      </c>
      <c r="D207" s="1" t="s">
        <v>152</v>
      </c>
      <c r="E207" s="1">
        <v>2</v>
      </c>
      <c r="F207" s="1">
        <v>45</v>
      </c>
      <c r="G207" s="1">
        <v>28</v>
      </c>
      <c r="H207" s="1">
        <v>90</v>
      </c>
      <c r="I207">
        <f t="shared" si="3"/>
        <v>34</v>
      </c>
    </row>
    <row r="208" spans="1:9" x14ac:dyDescent="0.3">
      <c r="A208" s="7" t="s">
        <v>28</v>
      </c>
      <c r="B208" s="1" t="s">
        <v>133</v>
      </c>
      <c r="C208" s="1" t="s">
        <v>147</v>
      </c>
      <c r="D208" s="1" t="s">
        <v>161</v>
      </c>
      <c r="E208" s="1">
        <v>3</v>
      </c>
      <c r="F208" s="1">
        <v>79.989999999999995</v>
      </c>
      <c r="G208" s="1">
        <v>50</v>
      </c>
      <c r="H208" s="1">
        <v>239.97</v>
      </c>
      <c r="I208">
        <f t="shared" si="3"/>
        <v>89.97</v>
      </c>
    </row>
    <row r="209" spans="1:9" x14ac:dyDescent="0.3">
      <c r="A209" s="7" t="s">
        <v>17</v>
      </c>
      <c r="B209" s="1" t="s">
        <v>134</v>
      </c>
      <c r="C209" s="1" t="s">
        <v>149</v>
      </c>
      <c r="D209" s="1" t="s">
        <v>167</v>
      </c>
      <c r="E209" s="1">
        <v>2</v>
      </c>
      <c r="F209" s="1">
        <v>89.99</v>
      </c>
      <c r="G209" s="1">
        <v>60</v>
      </c>
      <c r="H209" s="1">
        <v>179.98</v>
      </c>
      <c r="I209">
        <f t="shared" si="3"/>
        <v>59.97999999999999</v>
      </c>
    </row>
    <row r="210" spans="1:9" x14ac:dyDescent="0.3">
      <c r="A210" s="7" t="s">
        <v>110</v>
      </c>
      <c r="B210" s="1" t="s">
        <v>135</v>
      </c>
      <c r="C210" s="1" t="s">
        <v>148</v>
      </c>
      <c r="D210" s="1" t="s">
        <v>169</v>
      </c>
      <c r="E210" s="1">
        <v>3</v>
      </c>
      <c r="F210" s="1">
        <v>15.99</v>
      </c>
      <c r="G210" s="1">
        <v>9</v>
      </c>
      <c r="H210" s="1">
        <v>47.97</v>
      </c>
      <c r="I210">
        <f t="shared" si="3"/>
        <v>20.97</v>
      </c>
    </row>
    <row r="211" spans="1:9" x14ac:dyDescent="0.3">
      <c r="A211" s="7" t="s">
        <v>36</v>
      </c>
      <c r="B211" s="1" t="s">
        <v>136</v>
      </c>
      <c r="C211" s="1" t="s">
        <v>150</v>
      </c>
      <c r="D211" s="1" t="s">
        <v>155</v>
      </c>
      <c r="E211" s="1">
        <v>1</v>
      </c>
      <c r="F211" s="1">
        <v>59.99</v>
      </c>
      <c r="G211" s="1">
        <v>35</v>
      </c>
      <c r="H211" s="1">
        <v>59.99</v>
      </c>
      <c r="I211">
        <f t="shared" si="3"/>
        <v>24.990000000000002</v>
      </c>
    </row>
    <row r="212" spans="1:9" x14ac:dyDescent="0.3">
      <c r="A212" s="7" t="s">
        <v>102</v>
      </c>
      <c r="B212" s="1" t="s">
        <v>137</v>
      </c>
      <c r="C212" s="1" t="s">
        <v>148</v>
      </c>
      <c r="D212" s="1" t="s">
        <v>167</v>
      </c>
      <c r="E212" s="1">
        <v>3</v>
      </c>
      <c r="F212" s="1">
        <v>89.99</v>
      </c>
      <c r="G212" s="1">
        <v>60</v>
      </c>
      <c r="H212" s="1">
        <v>269.97000000000003</v>
      </c>
      <c r="I212">
        <f t="shared" si="3"/>
        <v>89.970000000000027</v>
      </c>
    </row>
    <row r="213" spans="1:9" x14ac:dyDescent="0.3">
      <c r="A213" s="7" t="s">
        <v>92</v>
      </c>
      <c r="B213" s="1" t="s">
        <v>138</v>
      </c>
      <c r="C213" s="1" t="s">
        <v>148</v>
      </c>
      <c r="D213" s="1" t="s">
        <v>152</v>
      </c>
      <c r="E213" s="1">
        <v>2</v>
      </c>
      <c r="F213" s="1">
        <v>45</v>
      </c>
      <c r="G213" s="1">
        <v>28</v>
      </c>
      <c r="H213" s="1">
        <v>90</v>
      </c>
      <c r="I213">
        <f t="shared" si="3"/>
        <v>34</v>
      </c>
    </row>
    <row r="214" spans="1:9" x14ac:dyDescent="0.3">
      <c r="A214" s="7" t="s">
        <v>50</v>
      </c>
      <c r="B214" s="1" t="s">
        <v>139</v>
      </c>
      <c r="C214" s="1" t="s">
        <v>148</v>
      </c>
      <c r="D214" s="1" t="s">
        <v>170</v>
      </c>
      <c r="E214" s="1">
        <v>1</v>
      </c>
      <c r="F214" s="1">
        <v>2.99</v>
      </c>
      <c r="G214" s="1">
        <v>1</v>
      </c>
      <c r="H214" s="1">
        <v>2.99</v>
      </c>
      <c r="I214">
        <f t="shared" si="3"/>
        <v>1.9900000000000002</v>
      </c>
    </row>
    <row r="215" spans="1:9" x14ac:dyDescent="0.3">
      <c r="A215" s="7" t="s">
        <v>32</v>
      </c>
      <c r="B215" s="1" t="s">
        <v>140</v>
      </c>
      <c r="C215" s="1" t="s">
        <v>147</v>
      </c>
      <c r="D215" s="1" t="s">
        <v>153</v>
      </c>
      <c r="E215" s="1">
        <v>4</v>
      </c>
      <c r="F215" s="1">
        <v>12.5</v>
      </c>
      <c r="G215" s="1">
        <v>6.2</v>
      </c>
      <c r="H215" s="1">
        <v>50</v>
      </c>
      <c r="I215">
        <f t="shared" si="3"/>
        <v>25.2</v>
      </c>
    </row>
    <row r="216" spans="1:9" x14ac:dyDescent="0.3">
      <c r="A216" s="7" t="s">
        <v>17</v>
      </c>
      <c r="B216" s="1" t="s">
        <v>141</v>
      </c>
      <c r="C216" s="1" t="s">
        <v>149</v>
      </c>
      <c r="D216" s="1" t="s">
        <v>158</v>
      </c>
      <c r="E216" s="1">
        <v>3</v>
      </c>
      <c r="F216" s="1">
        <v>20</v>
      </c>
      <c r="G216" s="1">
        <v>12</v>
      </c>
      <c r="H216" s="1">
        <v>60</v>
      </c>
      <c r="I216">
        <f t="shared" si="3"/>
        <v>24</v>
      </c>
    </row>
    <row r="217" spans="1:9" x14ac:dyDescent="0.3">
      <c r="A217" s="7" t="s">
        <v>24</v>
      </c>
      <c r="B217" s="1" t="s">
        <v>142</v>
      </c>
      <c r="C217" s="1" t="s">
        <v>148</v>
      </c>
      <c r="D217" s="1" t="s">
        <v>159</v>
      </c>
      <c r="E217" s="1">
        <v>4</v>
      </c>
      <c r="F217" s="1">
        <v>145</v>
      </c>
      <c r="G217" s="1">
        <v>100</v>
      </c>
      <c r="H217" s="1">
        <v>580</v>
      </c>
      <c r="I217">
        <f t="shared" si="3"/>
        <v>180</v>
      </c>
    </row>
    <row r="218" spans="1:9" x14ac:dyDescent="0.3">
      <c r="A218" s="7" t="s">
        <v>20</v>
      </c>
      <c r="B218" s="1" t="s">
        <v>143</v>
      </c>
      <c r="C218" s="1" t="s">
        <v>150</v>
      </c>
      <c r="D218" s="1" t="s">
        <v>161</v>
      </c>
      <c r="E218" s="1">
        <v>3</v>
      </c>
      <c r="F218" s="1">
        <v>79.989999999999995</v>
      </c>
      <c r="G218" s="1">
        <v>50</v>
      </c>
      <c r="H218" s="1">
        <v>239.97</v>
      </c>
      <c r="I218">
        <f t="shared" si="3"/>
        <v>89.97</v>
      </c>
    </row>
    <row r="219" spans="1:9" x14ac:dyDescent="0.3">
      <c r="A219" s="7" t="s">
        <v>61</v>
      </c>
      <c r="B219" s="1" t="s">
        <v>144</v>
      </c>
      <c r="C219" s="1" t="s">
        <v>147</v>
      </c>
      <c r="D219" s="1" t="s">
        <v>161</v>
      </c>
      <c r="E219" s="1">
        <v>5</v>
      </c>
      <c r="F219" s="1">
        <v>79.989999999999995</v>
      </c>
      <c r="G219" s="1">
        <v>50</v>
      </c>
      <c r="H219" s="1">
        <v>399.95</v>
      </c>
      <c r="I219">
        <f t="shared" si="3"/>
        <v>149.94999999999999</v>
      </c>
    </row>
    <row r="220" spans="1:9" x14ac:dyDescent="0.3">
      <c r="A220" s="7" t="s">
        <v>82</v>
      </c>
      <c r="B220" s="1" t="s">
        <v>145</v>
      </c>
      <c r="C220" s="1" t="s">
        <v>148</v>
      </c>
      <c r="D220" s="1" t="s">
        <v>151</v>
      </c>
      <c r="E220" s="1">
        <v>4</v>
      </c>
      <c r="F220" s="1">
        <v>22.99</v>
      </c>
      <c r="G220" s="1">
        <v>14</v>
      </c>
      <c r="H220" s="1">
        <v>91.96</v>
      </c>
      <c r="I220">
        <f t="shared" si="3"/>
        <v>35.959999999999994</v>
      </c>
    </row>
    <row r="221" spans="1:9" x14ac:dyDescent="0.3">
      <c r="A221" s="7" t="s">
        <v>111</v>
      </c>
      <c r="B221" s="1" t="s">
        <v>146</v>
      </c>
      <c r="C221" s="1" t="s">
        <v>148</v>
      </c>
      <c r="D221" s="1" t="s">
        <v>159</v>
      </c>
      <c r="E221" s="1">
        <v>4</v>
      </c>
      <c r="F221" s="1">
        <v>145</v>
      </c>
      <c r="G221" s="1">
        <v>100</v>
      </c>
      <c r="H221" s="1">
        <v>580</v>
      </c>
      <c r="I221">
        <f t="shared" si="3"/>
        <v>180</v>
      </c>
    </row>
    <row r="222" spans="1:9" x14ac:dyDescent="0.3">
      <c r="A222" s="7" t="s">
        <v>90</v>
      </c>
      <c r="B222" s="1" t="s">
        <v>127</v>
      </c>
      <c r="C222" s="1" t="s">
        <v>147</v>
      </c>
      <c r="D222" s="1" t="s">
        <v>155</v>
      </c>
      <c r="E222" s="1">
        <v>5</v>
      </c>
      <c r="F222" s="1">
        <v>59.99</v>
      </c>
      <c r="G222" s="1">
        <v>35</v>
      </c>
      <c r="H222" s="1">
        <v>299.95</v>
      </c>
      <c r="I222">
        <f t="shared" si="3"/>
        <v>124.94999999999999</v>
      </c>
    </row>
    <row r="223" spans="1:9" x14ac:dyDescent="0.3">
      <c r="A223" s="7" t="s">
        <v>25</v>
      </c>
      <c r="B223" s="1" t="s">
        <v>128</v>
      </c>
      <c r="C223" s="1" t="s">
        <v>150</v>
      </c>
      <c r="D223" s="1" t="s">
        <v>167</v>
      </c>
      <c r="E223" s="1">
        <v>4</v>
      </c>
      <c r="F223" s="1">
        <v>89.99</v>
      </c>
      <c r="G223" s="1">
        <v>60</v>
      </c>
      <c r="H223" s="1">
        <v>359.96</v>
      </c>
      <c r="I223">
        <f t="shared" si="3"/>
        <v>119.95999999999998</v>
      </c>
    </row>
    <row r="224" spans="1:9" x14ac:dyDescent="0.3">
      <c r="A224" s="7" t="s">
        <v>28</v>
      </c>
      <c r="B224" s="1" t="s">
        <v>129</v>
      </c>
      <c r="C224" s="1" t="s">
        <v>150</v>
      </c>
      <c r="D224" s="1" t="s">
        <v>165</v>
      </c>
      <c r="E224" s="1">
        <v>5</v>
      </c>
      <c r="F224" s="1">
        <v>18</v>
      </c>
      <c r="G224" s="1">
        <v>9</v>
      </c>
      <c r="H224" s="1">
        <v>90</v>
      </c>
      <c r="I224">
        <f t="shared" si="3"/>
        <v>45</v>
      </c>
    </row>
    <row r="225" spans="1:9" x14ac:dyDescent="0.3">
      <c r="A225" s="7" t="s">
        <v>112</v>
      </c>
      <c r="B225" s="1" t="s">
        <v>130</v>
      </c>
      <c r="C225" s="1" t="s">
        <v>149</v>
      </c>
      <c r="D225" s="1" t="s">
        <v>170</v>
      </c>
      <c r="E225" s="1">
        <v>2</v>
      </c>
      <c r="F225" s="1">
        <v>2.99</v>
      </c>
      <c r="G225" s="1">
        <v>1</v>
      </c>
      <c r="H225" s="1">
        <v>5.98</v>
      </c>
      <c r="I225">
        <f t="shared" si="3"/>
        <v>3.9800000000000004</v>
      </c>
    </row>
    <row r="226" spans="1:9" x14ac:dyDescent="0.3">
      <c r="A226" s="7" t="s">
        <v>28</v>
      </c>
      <c r="B226" s="1" t="s">
        <v>131</v>
      </c>
      <c r="C226" s="1" t="s">
        <v>148</v>
      </c>
      <c r="D226" s="1" t="s">
        <v>155</v>
      </c>
      <c r="E226" s="1">
        <v>1</v>
      </c>
      <c r="F226" s="1">
        <v>59.99</v>
      </c>
      <c r="G226" s="1">
        <v>35</v>
      </c>
      <c r="H226" s="1">
        <v>59.99</v>
      </c>
      <c r="I226">
        <f t="shared" si="3"/>
        <v>24.990000000000002</v>
      </c>
    </row>
    <row r="227" spans="1:9" x14ac:dyDescent="0.3">
      <c r="A227" s="7" t="s">
        <v>29</v>
      </c>
      <c r="B227" s="1" t="s">
        <v>132</v>
      </c>
      <c r="C227" s="1" t="s">
        <v>147</v>
      </c>
      <c r="D227" s="1" t="s">
        <v>153</v>
      </c>
      <c r="E227" s="1">
        <v>2</v>
      </c>
      <c r="F227" s="1">
        <v>12.5</v>
      </c>
      <c r="G227" s="1">
        <v>6.2</v>
      </c>
      <c r="H227" s="1">
        <v>25</v>
      </c>
      <c r="I227">
        <f t="shared" si="3"/>
        <v>12.6</v>
      </c>
    </row>
    <row r="228" spans="1:9" x14ac:dyDescent="0.3">
      <c r="A228" s="7" t="s">
        <v>49</v>
      </c>
      <c r="B228" s="1" t="s">
        <v>133</v>
      </c>
      <c r="C228" s="1" t="s">
        <v>150</v>
      </c>
      <c r="D228" s="1" t="s">
        <v>166</v>
      </c>
      <c r="E228" s="1">
        <v>3</v>
      </c>
      <c r="F228" s="1">
        <v>25</v>
      </c>
      <c r="G228" s="1">
        <v>12</v>
      </c>
      <c r="H228" s="1">
        <v>75</v>
      </c>
      <c r="I228">
        <f t="shared" si="3"/>
        <v>39</v>
      </c>
    </row>
    <row r="229" spans="1:9" x14ac:dyDescent="0.3">
      <c r="A229" s="7" t="s">
        <v>113</v>
      </c>
      <c r="B229" s="1" t="s">
        <v>134</v>
      </c>
      <c r="C229" s="1" t="s">
        <v>149</v>
      </c>
      <c r="D229" s="1" t="s">
        <v>160</v>
      </c>
      <c r="E229" s="1">
        <v>3</v>
      </c>
      <c r="F229" s="1">
        <v>3.5</v>
      </c>
      <c r="G229" s="1">
        <v>1.2</v>
      </c>
      <c r="H229" s="1">
        <v>10.5</v>
      </c>
      <c r="I229">
        <f t="shared" si="3"/>
        <v>6.9</v>
      </c>
    </row>
    <row r="230" spans="1:9" x14ac:dyDescent="0.3">
      <c r="A230" s="7" t="s">
        <v>81</v>
      </c>
      <c r="B230" s="1" t="s">
        <v>135</v>
      </c>
      <c r="C230" s="1" t="s">
        <v>150</v>
      </c>
      <c r="D230" s="1" t="s">
        <v>170</v>
      </c>
      <c r="E230" s="1">
        <v>1</v>
      </c>
      <c r="F230" s="1">
        <v>2.99</v>
      </c>
      <c r="G230" s="1">
        <v>1</v>
      </c>
      <c r="H230" s="1">
        <v>2.99</v>
      </c>
      <c r="I230">
        <f t="shared" si="3"/>
        <v>1.9900000000000002</v>
      </c>
    </row>
    <row r="231" spans="1:9" x14ac:dyDescent="0.3">
      <c r="A231" s="7" t="s">
        <v>36</v>
      </c>
      <c r="B231" s="1" t="s">
        <v>136</v>
      </c>
      <c r="C231" s="1" t="s">
        <v>150</v>
      </c>
      <c r="D231" s="1" t="s">
        <v>162</v>
      </c>
      <c r="E231" s="1">
        <v>3</v>
      </c>
      <c r="F231" s="1">
        <v>34.99</v>
      </c>
      <c r="G231" s="1">
        <v>18</v>
      </c>
      <c r="H231" s="1">
        <v>104.97</v>
      </c>
      <c r="I231">
        <f t="shared" si="3"/>
        <v>50.97</v>
      </c>
    </row>
    <row r="232" spans="1:9" x14ac:dyDescent="0.3">
      <c r="A232" s="7" t="s">
        <v>40</v>
      </c>
      <c r="B232" s="1" t="s">
        <v>137</v>
      </c>
      <c r="C232" s="1" t="s">
        <v>149</v>
      </c>
      <c r="D232" s="1" t="s">
        <v>156</v>
      </c>
      <c r="E232" s="1">
        <v>1</v>
      </c>
      <c r="F232" s="1">
        <v>9.99</v>
      </c>
      <c r="G232" s="1">
        <v>4.5</v>
      </c>
      <c r="H232" s="1">
        <v>9.99</v>
      </c>
      <c r="I232">
        <f t="shared" si="3"/>
        <v>5.49</v>
      </c>
    </row>
    <row r="233" spans="1:9" x14ac:dyDescent="0.3">
      <c r="A233" s="7" t="s">
        <v>31</v>
      </c>
      <c r="B233" s="1" t="s">
        <v>138</v>
      </c>
      <c r="C233" s="1" t="s">
        <v>150</v>
      </c>
      <c r="D233" s="1" t="s">
        <v>162</v>
      </c>
      <c r="E233" s="1">
        <v>5</v>
      </c>
      <c r="F233" s="1">
        <v>34.99</v>
      </c>
      <c r="G233" s="1">
        <v>18</v>
      </c>
      <c r="H233" s="1">
        <v>174.95</v>
      </c>
      <c r="I233">
        <f t="shared" si="3"/>
        <v>84.949999999999989</v>
      </c>
    </row>
    <row r="234" spans="1:9" x14ac:dyDescent="0.3">
      <c r="A234" s="7" t="s">
        <v>81</v>
      </c>
      <c r="B234" s="1" t="s">
        <v>139</v>
      </c>
      <c r="C234" s="1" t="s">
        <v>149</v>
      </c>
      <c r="D234" s="1" t="s">
        <v>157</v>
      </c>
      <c r="E234" s="1">
        <v>2</v>
      </c>
      <c r="F234" s="1">
        <v>120</v>
      </c>
      <c r="G234" s="1">
        <v>80</v>
      </c>
      <c r="H234" s="1">
        <v>240</v>
      </c>
      <c r="I234">
        <f t="shared" si="3"/>
        <v>80</v>
      </c>
    </row>
    <row r="235" spans="1:9" x14ac:dyDescent="0.3">
      <c r="A235" s="7" t="s">
        <v>23</v>
      </c>
      <c r="B235" s="1" t="s">
        <v>140</v>
      </c>
      <c r="C235" s="1" t="s">
        <v>147</v>
      </c>
      <c r="D235" s="1" t="s">
        <v>170</v>
      </c>
      <c r="E235" s="1">
        <v>2</v>
      </c>
      <c r="F235" s="1">
        <v>2.99</v>
      </c>
      <c r="G235" s="1">
        <v>1</v>
      </c>
      <c r="H235" s="1">
        <v>5.98</v>
      </c>
      <c r="I235">
        <f t="shared" si="3"/>
        <v>3.9800000000000004</v>
      </c>
    </row>
    <row r="236" spans="1:9" x14ac:dyDescent="0.3">
      <c r="A236" s="7" t="s">
        <v>80</v>
      </c>
      <c r="B236" s="1" t="s">
        <v>141</v>
      </c>
      <c r="C236" s="1" t="s">
        <v>147</v>
      </c>
      <c r="D236" s="1" t="s">
        <v>160</v>
      </c>
      <c r="E236" s="1">
        <v>3</v>
      </c>
      <c r="F236" s="1">
        <v>3.5</v>
      </c>
      <c r="G236" s="1">
        <v>1.2</v>
      </c>
      <c r="H236" s="1">
        <v>10.5</v>
      </c>
      <c r="I236">
        <f t="shared" si="3"/>
        <v>6.9</v>
      </c>
    </row>
    <row r="237" spans="1:9" x14ac:dyDescent="0.3">
      <c r="A237" s="7" t="s">
        <v>37</v>
      </c>
      <c r="B237" s="1" t="s">
        <v>142</v>
      </c>
      <c r="C237" s="1" t="s">
        <v>148</v>
      </c>
      <c r="D237" s="1" t="s">
        <v>161</v>
      </c>
      <c r="E237" s="1">
        <v>4</v>
      </c>
      <c r="F237" s="1">
        <v>79.989999999999995</v>
      </c>
      <c r="G237" s="1">
        <v>50</v>
      </c>
      <c r="H237" s="1">
        <v>319.95999999999998</v>
      </c>
      <c r="I237">
        <f t="shared" si="3"/>
        <v>119.95999999999998</v>
      </c>
    </row>
    <row r="238" spans="1:9" x14ac:dyDescent="0.3">
      <c r="A238" s="7" t="s">
        <v>90</v>
      </c>
      <c r="B238" s="1" t="s">
        <v>143</v>
      </c>
      <c r="C238" s="1" t="s">
        <v>149</v>
      </c>
      <c r="D238" s="1" t="s">
        <v>164</v>
      </c>
      <c r="E238" s="1">
        <v>1</v>
      </c>
      <c r="F238" s="1">
        <v>39.99</v>
      </c>
      <c r="G238" s="1">
        <v>22</v>
      </c>
      <c r="H238" s="1">
        <v>39.99</v>
      </c>
      <c r="I238">
        <f t="shared" si="3"/>
        <v>17.990000000000002</v>
      </c>
    </row>
    <row r="239" spans="1:9" x14ac:dyDescent="0.3">
      <c r="A239" s="7" t="s">
        <v>27</v>
      </c>
      <c r="B239" s="1" t="s">
        <v>144</v>
      </c>
      <c r="C239" s="1" t="s">
        <v>149</v>
      </c>
      <c r="D239" s="1" t="s">
        <v>158</v>
      </c>
      <c r="E239" s="1">
        <v>3</v>
      </c>
      <c r="F239" s="1">
        <v>20</v>
      </c>
      <c r="G239" s="1">
        <v>12</v>
      </c>
      <c r="H239" s="1">
        <v>60</v>
      </c>
      <c r="I239">
        <f t="shared" si="3"/>
        <v>24</v>
      </c>
    </row>
    <row r="240" spans="1:9" x14ac:dyDescent="0.3">
      <c r="A240" s="7" t="s">
        <v>36</v>
      </c>
      <c r="B240" s="1" t="s">
        <v>145</v>
      </c>
      <c r="C240" s="1" t="s">
        <v>149</v>
      </c>
      <c r="D240" s="1" t="s">
        <v>152</v>
      </c>
      <c r="E240" s="1">
        <v>4</v>
      </c>
      <c r="F240" s="1">
        <v>45</v>
      </c>
      <c r="G240" s="1">
        <v>28</v>
      </c>
      <c r="H240" s="1">
        <v>180</v>
      </c>
      <c r="I240">
        <f t="shared" si="3"/>
        <v>68</v>
      </c>
    </row>
    <row r="241" spans="1:9" x14ac:dyDescent="0.3">
      <c r="A241" s="7" t="s">
        <v>37</v>
      </c>
      <c r="B241" s="1" t="s">
        <v>146</v>
      </c>
      <c r="C241" s="1" t="s">
        <v>148</v>
      </c>
      <c r="D241" s="1" t="s">
        <v>170</v>
      </c>
      <c r="E241" s="1">
        <v>4</v>
      </c>
      <c r="F241" s="1">
        <v>2.99</v>
      </c>
      <c r="G241" s="1">
        <v>1</v>
      </c>
      <c r="H241" s="1">
        <v>11.96</v>
      </c>
      <c r="I241">
        <f t="shared" si="3"/>
        <v>7.9600000000000009</v>
      </c>
    </row>
    <row r="242" spans="1:9" x14ac:dyDescent="0.3">
      <c r="A242" s="7" t="s">
        <v>111</v>
      </c>
      <c r="B242" s="1" t="s">
        <v>127</v>
      </c>
      <c r="C242" s="1" t="s">
        <v>149</v>
      </c>
      <c r="D242" s="1" t="s">
        <v>163</v>
      </c>
      <c r="E242" s="1">
        <v>1</v>
      </c>
      <c r="F242" s="1">
        <v>14.99</v>
      </c>
      <c r="G242" s="1">
        <v>8</v>
      </c>
      <c r="H242" s="1">
        <v>14.99</v>
      </c>
      <c r="I242">
        <f t="shared" si="3"/>
        <v>6.99</v>
      </c>
    </row>
    <row r="243" spans="1:9" x14ac:dyDescent="0.3">
      <c r="A243" s="7" t="s">
        <v>114</v>
      </c>
      <c r="B243" s="1" t="s">
        <v>128</v>
      </c>
      <c r="C243" s="1" t="s">
        <v>147</v>
      </c>
      <c r="D243" s="1" t="s">
        <v>169</v>
      </c>
      <c r="E243" s="1">
        <v>4</v>
      </c>
      <c r="F243" s="1">
        <v>15.99</v>
      </c>
      <c r="G243" s="1">
        <v>9</v>
      </c>
      <c r="H243" s="1">
        <v>63.96</v>
      </c>
      <c r="I243">
        <f t="shared" si="3"/>
        <v>27.96</v>
      </c>
    </row>
    <row r="244" spans="1:9" x14ac:dyDescent="0.3">
      <c r="A244" s="7" t="s">
        <v>45</v>
      </c>
      <c r="B244" s="1" t="s">
        <v>129</v>
      </c>
      <c r="C244" s="1" t="s">
        <v>149</v>
      </c>
      <c r="D244" s="1" t="s">
        <v>151</v>
      </c>
      <c r="E244" s="1">
        <v>4</v>
      </c>
      <c r="F244" s="1">
        <v>22.99</v>
      </c>
      <c r="G244" s="1">
        <v>14</v>
      </c>
      <c r="H244" s="1">
        <v>91.96</v>
      </c>
      <c r="I244">
        <f t="shared" si="3"/>
        <v>35.959999999999994</v>
      </c>
    </row>
    <row r="245" spans="1:9" x14ac:dyDescent="0.3">
      <c r="A245" s="7" t="s">
        <v>25</v>
      </c>
      <c r="B245" s="1" t="s">
        <v>130</v>
      </c>
      <c r="C245" s="1" t="s">
        <v>150</v>
      </c>
      <c r="D245" s="1" t="s">
        <v>156</v>
      </c>
      <c r="E245" s="1">
        <v>1</v>
      </c>
      <c r="F245" s="1">
        <v>9.99</v>
      </c>
      <c r="G245" s="1">
        <v>4.5</v>
      </c>
      <c r="H245" s="1">
        <v>9.99</v>
      </c>
      <c r="I245">
        <f t="shared" si="3"/>
        <v>5.49</v>
      </c>
    </row>
    <row r="246" spans="1:9" x14ac:dyDescent="0.3">
      <c r="A246" s="7" t="s">
        <v>59</v>
      </c>
      <c r="B246" s="1" t="s">
        <v>131</v>
      </c>
      <c r="C246" s="1" t="s">
        <v>147</v>
      </c>
      <c r="D246" s="1" t="s">
        <v>165</v>
      </c>
      <c r="E246" s="1">
        <v>3</v>
      </c>
      <c r="F246" s="1">
        <v>18</v>
      </c>
      <c r="G246" s="1">
        <v>9</v>
      </c>
      <c r="H246" s="1">
        <v>54</v>
      </c>
      <c r="I246">
        <f t="shared" si="3"/>
        <v>27</v>
      </c>
    </row>
    <row r="247" spans="1:9" x14ac:dyDescent="0.3">
      <c r="A247" s="7" t="s">
        <v>64</v>
      </c>
      <c r="B247" s="1" t="s">
        <v>132</v>
      </c>
      <c r="C247" s="1" t="s">
        <v>150</v>
      </c>
      <c r="D247" s="1" t="s">
        <v>154</v>
      </c>
      <c r="E247" s="1">
        <v>5</v>
      </c>
      <c r="F247" s="1">
        <v>11.99</v>
      </c>
      <c r="G247" s="1">
        <v>5</v>
      </c>
      <c r="H247" s="1">
        <v>59.95</v>
      </c>
      <c r="I247">
        <f t="shared" si="3"/>
        <v>34.950000000000003</v>
      </c>
    </row>
    <row r="248" spans="1:9" x14ac:dyDescent="0.3">
      <c r="A248" s="7" t="s">
        <v>47</v>
      </c>
      <c r="B248" s="1" t="s">
        <v>133</v>
      </c>
      <c r="C248" s="1" t="s">
        <v>147</v>
      </c>
      <c r="D248" s="1" t="s">
        <v>168</v>
      </c>
      <c r="E248" s="1">
        <v>5</v>
      </c>
      <c r="F248" s="1">
        <v>129.99</v>
      </c>
      <c r="G248" s="1">
        <v>95</v>
      </c>
      <c r="H248" s="1">
        <v>649.95000000000005</v>
      </c>
      <c r="I248">
        <f t="shared" si="3"/>
        <v>174.95000000000005</v>
      </c>
    </row>
    <row r="249" spans="1:9" x14ac:dyDescent="0.3">
      <c r="A249" s="7" t="s">
        <v>115</v>
      </c>
      <c r="B249" s="1" t="s">
        <v>134</v>
      </c>
      <c r="C249" s="1" t="s">
        <v>149</v>
      </c>
      <c r="D249" s="1" t="s">
        <v>152</v>
      </c>
      <c r="E249" s="1">
        <v>3</v>
      </c>
      <c r="F249" s="1">
        <v>45</v>
      </c>
      <c r="G249" s="1">
        <v>28</v>
      </c>
      <c r="H249" s="1">
        <v>135</v>
      </c>
      <c r="I249">
        <f t="shared" si="3"/>
        <v>51</v>
      </c>
    </row>
    <row r="250" spans="1:9" x14ac:dyDescent="0.3">
      <c r="A250" s="7" t="s">
        <v>116</v>
      </c>
      <c r="B250" s="1" t="s">
        <v>135</v>
      </c>
      <c r="C250" s="1" t="s">
        <v>147</v>
      </c>
      <c r="D250" s="1" t="s">
        <v>166</v>
      </c>
      <c r="E250" s="1">
        <v>5</v>
      </c>
      <c r="F250" s="1">
        <v>25</v>
      </c>
      <c r="G250" s="1">
        <v>12</v>
      </c>
      <c r="H250" s="1">
        <v>125</v>
      </c>
      <c r="I250">
        <f t="shared" si="3"/>
        <v>65</v>
      </c>
    </row>
    <row r="251" spans="1:9" x14ac:dyDescent="0.3">
      <c r="A251" s="7" t="s">
        <v>39</v>
      </c>
      <c r="B251" s="1" t="s">
        <v>136</v>
      </c>
      <c r="C251" s="1" t="s">
        <v>148</v>
      </c>
      <c r="D251" s="1" t="s">
        <v>169</v>
      </c>
      <c r="E251" s="1">
        <v>4</v>
      </c>
      <c r="F251" s="1">
        <v>15.99</v>
      </c>
      <c r="G251" s="1">
        <v>9</v>
      </c>
      <c r="H251" s="1">
        <v>63.96</v>
      </c>
      <c r="I251">
        <f t="shared" si="3"/>
        <v>27.96</v>
      </c>
    </row>
    <row r="252" spans="1:9" x14ac:dyDescent="0.3">
      <c r="A252" s="7" t="s">
        <v>59</v>
      </c>
      <c r="B252" s="1" t="s">
        <v>137</v>
      </c>
      <c r="C252" s="1" t="s">
        <v>150</v>
      </c>
      <c r="D252" s="1" t="s">
        <v>170</v>
      </c>
      <c r="E252" s="1">
        <v>3</v>
      </c>
      <c r="F252" s="1">
        <v>2.99</v>
      </c>
      <c r="G252" s="1">
        <v>1</v>
      </c>
      <c r="H252" s="1">
        <v>8.9700000000000006</v>
      </c>
      <c r="I252">
        <f t="shared" si="3"/>
        <v>5.9700000000000006</v>
      </c>
    </row>
    <row r="253" spans="1:9" x14ac:dyDescent="0.3">
      <c r="A253" s="7" t="s">
        <v>52</v>
      </c>
      <c r="B253" s="1" t="s">
        <v>138</v>
      </c>
      <c r="C253" s="1" t="s">
        <v>147</v>
      </c>
      <c r="D253" s="1" t="s">
        <v>158</v>
      </c>
      <c r="E253" s="1">
        <v>4</v>
      </c>
      <c r="F253" s="1">
        <v>20</v>
      </c>
      <c r="G253" s="1">
        <v>12</v>
      </c>
      <c r="H253" s="1">
        <v>80</v>
      </c>
      <c r="I253">
        <f t="shared" si="3"/>
        <v>32</v>
      </c>
    </row>
    <row r="254" spans="1:9" x14ac:dyDescent="0.3">
      <c r="A254" s="7" t="s">
        <v>117</v>
      </c>
      <c r="B254" s="1" t="s">
        <v>139</v>
      </c>
      <c r="C254" s="1" t="s">
        <v>150</v>
      </c>
      <c r="D254" s="1" t="s">
        <v>154</v>
      </c>
      <c r="E254" s="1">
        <v>3</v>
      </c>
      <c r="F254" s="1">
        <v>11.99</v>
      </c>
      <c r="G254" s="1">
        <v>5</v>
      </c>
      <c r="H254" s="1">
        <v>35.97</v>
      </c>
      <c r="I254">
        <f t="shared" si="3"/>
        <v>20.97</v>
      </c>
    </row>
    <row r="255" spans="1:9" x14ac:dyDescent="0.3">
      <c r="A255" s="7" t="s">
        <v>86</v>
      </c>
      <c r="B255" s="1" t="s">
        <v>140</v>
      </c>
      <c r="C255" s="1" t="s">
        <v>148</v>
      </c>
      <c r="D255" s="1" t="s">
        <v>157</v>
      </c>
      <c r="E255" s="1">
        <v>3</v>
      </c>
      <c r="F255" s="1">
        <v>120</v>
      </c>
      <c r="G255" s="1">
        <v>80</v>
      </c>
      <c r="H255" s="1">
        <v>360</v>
      </c>
      <c r="I255">
        <f t="shared" si="3"/>
        <v>120</v>
      </c>
    </row>
    <row r="256" spans="1:9" x14ac:dyDescent="0.3">
      <c r="A256" s="7" t="s">
        <v>77</v>
      </c>
      <c r="B256" s="1" t="s">
        <v>141</v>
      </c>
      <c r="C256" s="1" t="s">
        <v>150</v>
      </c>
      <c r="D256" s="1" t="s">
        <v>161</v>
      </c>
      <c r="E256" s="1">
        <v>2</v>
      </c>
      <c r="F256" s="1">
        <v>79.989999999999995</v>
      </c>
      <c r="G256" s="1">
        <v>50</v>
      </c>
      <c r="H256" s="1">
        <v>159.97999999999999</v>
      </c>
      <c r="I256">
        <f t="shared" si="3"/>
        <v>59.97999999999999</v>
      </c>
    </row>
    <row r="257" spans="1:9" x14ac:dyDescent="0.3">
      <c r="A257" s="7" t="s">
        <v>107</v>
      </c>
      <c r="B257" s="1" t="s">
        <v>142</v>
      </c>
      <c r="C257" s="1" t="s">
        <v>149</v>
      </c>
      <c r="D257" s="1" t="s">
        <v>161</v>
      </c>
      <c r="E257" s="1">
        <v>5</v>
      </c>
      <c r="F257" s="1">
        <v>79.989999999999995</v>
      </c>
      <c r="G257" s="1">
        <v>50</v>
      </c>
      <c r="H257" s="1">
        <v>399.95</v>
      </c>
      <c r="I257">
        <f t="shared" si="3"/>
        <v>149.94999999999999</v>
      </c>
    </row>
    <row r="258" spans="1:9" x14ac:dyDescent="0.3">
      <c r="A258" s="7" t="s">
        <v>19</v>
      </c>
      <c r="B258" s="1" t="s">
        <v>143</v>
      </c>
      <c r="C258" s="1" t="s">
        <v>148</v>
      </c>
      <c r="D258" s="1" t="s">
        <v>157</v>
      </c>
      <c r="E258" s="1">
        <v>3</v>
      </c>
      <c r="F258" s="1">
        <v>120</v>
      </c>
      <c r="G258" s="1">
        <v>80</v>
      </c>
      <c r="H258" s="1">
        <v>360</v>
      </c>
      <c r="I258">
        <f t="shared" si="3"/>
        <v>120</v>
      </c>
    </row>
    <row r="259" spans="1:9" x14ac:dyDescent="0.3">
      <c r="A259" s="7" t="s">
        <v>118</v>
      </c>
      <c r="B259" s="1" t="s">
        <v>144</v>
      </c>
      <c r="C259" s="1" t="s">
        <v>147</v>
      </c>
      <c r="D259" s="1" t="s">
        <v>164</v>
      </c>
      <c r="E259" s="1">
        <v>1</v>
      </c>
      <c r="F259" s="1">
        <v>39.99</v>
      </c>
      <c r="G259" s="1">
        <v>22</v>
      </c>
      <c r="H259" s="1">
        <v>39.99</v>
      </c>
      <c r="I259">
        <f t="shared" ref="I259:I322" si="4">H259-(G259*E259)</f>
        <v>17.990000000000002</v>
      </c>
    </row>
    <row r="260" spans="1:9" x14ac:dyDescent="0.3">
      <c r="A260" s="7" t="s">
        <v>77</v>
      </c>
      <c r="B260" s="1" t="s">
        <v>145</v>
      </c>
      <c r="C260" s="1" t="s">
        <v>149</v>
      </c>
      <c r="D260" s="1" t="s">
        <v>167</v>
      </c>
      <c r="E260" s="1">
        <v>3</v>
      </c>
      <c r="F260" s="1">
        <v>89.99</v>
      </c>
      <c r="G260" s="1">
        <v>60</v>
      </c>
      <c r="H260" s="1">
        <v>269.97000000000003</v>
      </c>
      <c r="I260">
        <f t="shared" si="4"/>
        <v>89.970000000000027</v>
      </c>
    </row>
    <row r="261" spans="1:9" x14ac:dyDescent="0.3">
      <c r="A261" s="7" t="s">
        <v>13</v>
      </c>
      <c r="B261" s="1" t="s">
        <v>146</v>
      </c>
      <c r="C261" s="1" t="s">
        <v>148</v>
      </c>
      <c r="D261" s="1" t="s">
        <v>164</v>
      </c>
      <c r="E261" s="1">
        <v>2</v>
      </c>
      <c r="F261" s="1">
        <v>39.99</v>
      </c>
      <c r="G261" s="1">
        <v>22</v>
      </c>
      <c r="H261" s="1">
        <v>79.98</v>
      </c>
      <c r="I261">
        <f t="shared" si="4"/>
        <v>35.980000000000004</v>
      </c>
    </row>
    <row r="262" spans="1:9" x14ac:dyDescent="0.3">
      <c r="A262" s="7" t="s">
        <v>46</v>
      </c>
      <c r="B262" s="1" t="s">
        <v>127</v>
      </c>
      <c r="C262" s="1" t="s">
        <v>150</v>
      </c>
      <c r="D262" s="1" t="s">
        <v>151</v>
      </c>
      <c r="E262" s="1">
        <v>2</v>
      </c>
      <c r="F262" s="1">
        <v>22.99</v>
      </c>
      <c r="G262" s="1">
        <v>14</v>
      </c>
      <c r="H262" s="1">
        <v>45.98</v>
      </c>
      <c r="I262">
        <f t="shared" si="4"/>
        <v>17.979999999999997</v>
      </c>
    </row>
    <row r="263" spans="1:9" x14ac:dyDescent="0.3">
      <c r="A263" s="7" t="s">
        <v>60</v>
      </c>
      <c r="B263" s="1" t="s">
        <v>128</v>
      </c>
      <c r="C263" s="1" t="s">
        <v>148</v>
      </c>
      <c r="D263" s="1" t="s">
        <v>157</v>
      </c>
      <c r="E263" s="1">
        <v>1</v>
      </c>
      <c r="F263" s="1">
        <v>120</v>
      </c>
      <c r="G263" s="1">
        <v>80</v>
      </c>
      <c r="H263" s="1">
        <v>120</v>
      </c>
      <c r="I263">
        <f t="shared" si="4"/>
        <v>40</v>
      </c>
    </row>
    <row r="264" spans="1:9" x14ac:dyDescent="0.3">
      <c r="A264" s="7" t="s">
        <v>54</v>
      </c>
      <c r="B264" s="1" t="s">
        <v>129</v>
      </c>
      <c r="C264" s="1" t="s">
        <v>149</v>
      </c>
      <c r="D264" s="1" t="s">
        <v>163</v>
      </c>
      <c r="E264" s="1">
        <v>4</v>
      </c>
      <c r="F264" s="1">
        <v>14.99</v>
      </c>
      <c r="G264" s="1">
        <v>8</v>
      </c>
      <c r="H264" s="1">
        <v>59.96</v>
      </c>
      <c r="I264">
        <f t="shared" si="4"/>
        <v>27.96</v>
      </c>
    </row>
    <row r="265" spans="1:9" x14ac:dyDescent="0.3">
      <c r="A265" s="7" t="s">
        <v>114</v>
      </c>
      <c r="B265" s="1" t="s">
        <v>130</v>
      </c>
      <c r="C265" s="1" t="s">
        <v>147</v>
      </c>
      <c r="D265" s="1" t="s">
        <v>162</v>
      </c>
      <c r="E265" s="1">
        <v>3</v>
      </c>
      <c r="F265" s="1">
        <v>34.99</v>
      </c>
      <c r="G265" s="1">
        <v>18</v>
      </c>
      <c r="H265" s="1">
        <v>104.97</v>
      </c>
      <c r="I265">
        <f t="shared" si="4"/>
        <v>50.97</v>
      </c>
    </row>
    <row r="266" spans="1:9" x14ac:dyDescent="0.3">
      <c r="A266" s="7" t="s">
        <v>66</v>
      </c>
      <c r="B266" s="1" t="s">
        <v>131</v>
      </c>
      <c r="C266" s="1" t="s">
        <v>150</v>
      </c>
      <c r="D266" s="1" t="s">
        <v>153</v>
      </c>
      <c r="E266" s="1">
        <v>3</v>
      </c>
      <c r="F266" s="1">
        <v>12.5</v>
      </c>
      <c r="G266" s="1">
        <v>6.2</v>
      </c>
      <c r="H266" s="1">
        <v>37.5</v>
      </c>
      <c r="I266">
        <f t="shared" si="4"/>
        <v>18.899999999999999</v>
      </c>
    </row>
    <row r="267" spans="1:9" x14ac:dyDescent="0.3">
      <c r="A267" s="7" t="s">
        <v>103</v>
      </c>
      <c r="B267" s="1" t="s">
        <v>132</v>
      </c>
      <c r="C267" s="1" t="s">
        <v>149</v>
      </c>
      <c r="D267" s="1" t="s">
        <v>158</v>
      </c>
      <c r="E267" s="1">
        <v>1</v>
      </c>
      <c r="F267" s="1">
        <v>20</v>
      </c>
      <c r="G267" s="1">
        <v>12</v>
      </c>
      <c r="H267" s="1">
        <v>20</v>
      </c>
      <c r="I267">
        <f t="shared" si="4"/>
        <v>8</v>
      </c>
    </row>
    <row r="268" spans="1:9" x14ac:dyDescent="0.3">
      <c r="A268" s="7" t="s">
        <v>52</v>
      </c>
      <c r="B268" s="1" t="s">
        <v>133</v>
      </c>
      <c r="C268" s="1" t="s">
        <v>147</v>
      </c>
      <c r="D268" s="1" t="s">
        <v>167</v>
      </c>
      <c r="E268" s="1">
        <v>4</v>
      </c>
      <c r="F268" s="1">
        <v>89.99</v>
      </c>
      <c r="G268" s="1">
        <v>60</v>
      </c>
      <c r="H268" s="1">
        <v>359.96</v>
      </c>
      <c r="I268">
        <f t="shared" si="4"/>
        <v>119.95999999999998</v>
      </c>
    </row>
    <row r="269" spans="1:9" x14ac:dyDescent="0.3">
      <c r="A269" s="7" t="s">
        <v>19</v>
      </c>
      <c r="B269" s="1" t="s">
        <v>134</v>
      </c>
      <c r="C269" s="1" t="s">
        <v>149</v>
      </c>
      <c r="D269" s="1" t="s">
        <v>166</v>
      </c>
      <c r="E269" s="1">
        <v>1</v>
      </c>
      <c r="F269" s="1">
        <v>25</v>
      </c>
      <c r="G269" s="1">
        <v>12</v>
      </c>
      <c r="H269" s="1">
        <v>25</v>
      </c>
      <c r="I269">
        <f t="shared" si="4"/>
        <v>13</v>
      </c>
    </row>
    <row r="270" spans="1:9" x14ac:dyDescent="0.3">
      <c r="A270" s="7" t="s">
        <v>105</v>
      </c>
      <c r="B270" s="1" t="s">
        <v>135</v>
      </c>
      <c r="C270" s="1" t="s">
        <v>150</v>
      </c>
      <c r="D270" s="1" t="s">
        <v>152</v>
      </c>
      <c r="E270" s="1">
        <v>5</v>
      </c>
      <c r="F270" s="1">
        <v>45</v>
      </c>
      <c r="G270" s="1">
        <v>28</v>
      </c>
      <c r="H270" s="1">
        <v>225</v>
      </c>
      <c r="I270">
        <f t="shared" si="4"/>
        <v>85</v>
      </c>
    </row>
    <row r="271" spans="1:9" x14ac:dyDescent="0.3">
      <c r="A271" s="7" t="s">
        <v>111</v>
      </c>
      <c r="B271" s="1" t="s">
        <v>136</v>
      </c>
      <c r="C271" s="1" t="s">
        <v>147</v>
      </c>
      <c r="D271" s="1" t="s">
        <v>154</v>
      </c>
      <c r="E271" s="1">
        <v>2</v>
      </c>
      <c r="F271" s="1">
        <v>11.99</v>
      </c>
      <c r="G271" s="1">
        <v>5</v>
      </c>
      <c r="H271" s="1">
        <v>23.98</v>
      </c>
      <c r="I271">
        <f t="shared" si="4"/>
        <v>13.98</v>
      </c>
    </row>
    <row r="272" spans="1:9" x14ac:dyDescent="0.3">
      <c r="A272" s="7" t="s">
        <v>34</v>
      </c>
      <c r="B272" s="1" t="s">
        <v>137</v>
      </c>
      <c r="C272" s="1" t="s">
        <v>147</v>
      </c>
      <c r="D272" s="1" t="s">
        <v>169</v>
      </c>
      <c r="E272" s="1">
        <v>4</v>
      </c>
      <c r="F272" s="1">
        <v>15.99</v>
      </c>
      <c r="G272" s="1">
        <v>9</v>
      </c>
      <c r="H272" s="1">
        <v>63.96</v>
      </c>
      <c r="I272">
        <f t="shared" si="4"/>
        <v>27.96</v>
      </c>
    </row>
    <row r="273" spans="1:9" x14ac:dyDescent="0.3">
      <c r="A273" s="7" t="s">
        <v>79</v>
      </c>
      <c r="B273" s="1" t="s">
        <v>138</v>
      </c>
      <c r="C273" s="1" t="s">
        <v>150</v>
      </c>
      <c r="D273" s="1" t="s">
        <v>152</v>
      </c>
      <c r="E273" s="1">
        <v>5</v>
      </c>
      <c r="F273" s="1">
        <v>45</v>
      </c>
      <c r="G273" s="1">
        <v>28</v>
      </c>
      <c r="H273" s="1">
        <v>225</v>
      </c>
      <c r="I273">
        <f t="shared" si="4"/>
        <v>85</v>
      </c>
    </row>
    <row r="274" spans="1:9" x14ac:dyDescent="0.3">
      <c r="A274" s="7" t="s">
        <v>57</v>
      </c>
      <c r="B274" s="1" t="s">
        <v>139</v>
      </c>
      <c r="C274" s="1" t="s">
        <v>149</v>
      </c>
      <c r="D274" s="1" t="s">
        <v>156</v>
      </c>
      <c r="E274" s="1">
        <v>1</v>
      </c>
      <c r="F274" s="1">
        <v>9.99</v>
      </c>
      <c r="G274" s="1">
        <v>4.5</v>
      </c>
      <c r="H274" s="1">
        <v>9.99</v>
      </c>
      <c r="I274">
        <f t="shared" si="4"/>
        <v>5.49</v>
      </c>
    </row>
    <row r="275" spans="1:9" x14ac:dyDescent="0.3">
      <c r="A275" s="7" t="s">
        <v>48</v>
      </c>
      <c r="B275" s="1" t="s">
        <v>140</v>
      </c>
      <c r="C275" s="1" t="s">
        <v>149</v>
      </c>
      <c r="D275" s="1" t="s">
        <v>167</v>
      </c>
      <c r="E275" s="1">
        <v>2</v>
      </c>
      <c r="F275" s="1">
        <v>89.99</v>
      </c>
      <c r="G275" s="1">
        <v>60</v>
      </c>
      <c r="H275" s="1">
        <v>179.98</v>
      </c>
      <c r="I275">
        <f t="shared" si="4"/>
        <v>59.97999999999999</v>
      </c>
    </row>
    <row r="276" spans="1:9" x14ac:dyDescent="0.3">
      <c r="A276" s="7" t="s">
        <v>75</v>
      </c>
      <c r="B276" s="1" t="s">
        <v>141</v>
      </c>
      <c r="C276" s="1" t="s">
        <v>150</v>
      </c>
      <c r="D276" s="1" t="s">
        <v>154</v>
      </c>
      <c r="E276" s="1">
        <v>3</v>
      </c>
      <c r="F276" s="1">
        <v>11.99</v>
      </c>
      <c r="G276" s="1">
        <v>5</v>
      </c>
      <c r="H276" s="1">
        <v>35.97</v>
      </c>
      <c r="I276">
        <f t="shared" si="4"/>
        <v>20.97</v>
      </c>
    </row>
    <row r="277" spans="1:9" x14ac:dyDescent="0.3">
      <c r="A277" s="7" t="s">
        <v>51</v>
      </c>
      <c r="B277" s="1" t="s">
        <v>142</v>
      </c>
      <c r="C277" s="1" t="s">
        <v>147</v>
      </c>
      <c r="D277" s="1" t="s">
        <v>165</v>
      </c>
      <c r="E277" s="1">
        <v>5</v>
      </c>
      <c r="F277" s="1">
        <v>18</v>
      </c>
      <c r="G277" s="1">
        <v>9</v>
      </c>
      <c r="H277" s="1">
        <v>90</v>
      </c>
      <c r="I277">
        <f t="shared" si="4"/>
        <v>45</v>
      </c>
    </row>
    <row r="278" spans="1:9" x14ac:dyDescent="0.3">
      <c r="A278" s="7" t="s">
        <v>62</v>
      </c>
      <c r="B278" s="1" t="s">
        <v>143</v>
      </c>
      <c r="C278" s="1" t="s">
        <v>148</v>
      </c>
      <c r="D278" s="1" t="s">
        <v>170</v>
      </c>
      <c r="E278" s="1">
        <v>3</v>
      </c>
      <c r="F278" s="1">
        <v>2.99</v>
      </c>
      <c r="G278" s="1">
        <v>1</v>
      </c>
      <c r="H278" s="1">
        <v>8.9700000000000006</v>
      </c>
      <c r="I278">
        <f t="shared" si="4"/>
        <v>5.9700000000000006</v>
      </c>
    </row>
    <row r="279" spans="1:9" x14ac:dyDescent="0.3">
      <c r="A279" s="7" t="s">
        <v>29</v>
      </c>
      <c r="B279" s="1" t="s">
        <v>144</v>
      </c>
      <c r="C279" s="1" t="s">
        <v>147</v>
      </c>
      <c r="D279" s="1" t="s">
        <v>163</v>
      </c>
      <c r="E279" s="1">
        <v>1</v>
      </c>
      <c r="F279" s="1">
        <v>14.99</v>
      </c>
      <c r="G279" s="1">
        <v>8</v>
      </c>
      <c r="H279" s="1">
        <v>14.99</v>
      </c>
      <c r="I279">
        <f t="shared" si="4"/>
        <v>6.99</v>
      </c>
    </row>
    <row r="280" spans="1:9" x14ac:dyDescent="0.3">
      <c r="A280" s="7" t="s">
        <v>84</v>
      </c>
      <c r="B280" s="1" t="s">
        <v>145</v>
      </c>
      <c r="C280" s="1" t="s">
        <v>147</v>
      </c>
      <c r="D280" s="1" t="s">
        <v>158</v>
      </c>
      <c r="E280" s="1">
        <v>4</v>
      </c>
      <c r="F280" s="1">
        <v>20</v>
      </c>
      <c r="G280" s="1">
        <v>12</v>
      </c>
      <c r="H280" s="1">
        <v>80</v>
      </c>
      <c r="I280">
        <f t="shared" si="4"/>
        <v>32</v>
      </c>
    </row>
    <row r="281" spans="1:9" x14ac:dyDescent="0.3">
      <c r="A281" s="7" t="s">
        <v>10</v>
      </c>
      <c r="B281" s="1" t="s">
        <v>146</v>
      </c>
      <c r="C281" s="1" t="s">
        <v>148</v>
      </c>
      <c r="D281" s="1" t="s">
        <v>165</v>
      </c>
      <c r="E281" s="1">
        <v>3</v>
      </c>
      <c r="F281" s="1">
        <v>18</v>
      </c>
      <c r="G281" s="1">
        <v>9</v>
      </c>
      <c r="H281" s="1">
        <v>54</v>
      </c>
      <c r="I281">
        <f t="shared" si="4"/>
        <v>27</v>
      </c>
    </row>
    <row r="282" spans="1:9" x14ac:dyDescent="0.3">
      <c r="A282" s="7" t="s">
        <v>75</v>
      </c>
      <c r="B282" s="1" t="s">
        <v>127</v>
      </c>
      <c r="C282" s="1" t="s">
        <v>148</v>
      </c>
      <c r="D282" s="1" t="s">
        <v>167</v>
      </c>
      <c r="E282" s="1">
        <v>4</v>
      </c>
      <c r="F282" s="1">
        <v>89.99</v>
      </c>
      <c r="G282" s="1">
        <v>60</v>
      </c>
      <c r="H282" s="1">
        <v>359.96</v>
      </c>
      <c r="I282">
        <f t="shared" si="4"/>
        <v>119.95999999999998</v>
      </c>
    </row>
    <row r="283" spans="1:9" x14ac:dyDescent="0.3">
      <c r="A283" s="7" t="s">
        <v>14</v>
      </c>
      <c r="B283" s="1" t="s">
        <v>128</v>
      </c>
      <c r="C283" s="1" t="s">
        <v>149</v>
      </c>
      <c r="D283" s="1" t="s">
        <v>161</v>
      </c>
      <c r="E283" s="1">
        <v>3</v>
      </c>
      <c r="F283" s="1">
        <v>79.989999999999995</v>
      </c>
      <c r="G283" s="1">
        <v>50</v>
      </c>
      <c r="H283" s="1">
        <v>239.97</v>
      </c>
      <c r="I283">
        <f t="shared" si="4"/>
        <v>89.97</v>
      </c>
    </row>
    <row r="284" spans="1:9" x14ac:dyDescent="0.3">
      <c r="A284" s="7" t="s">
        <v>118</v>
      </c>
      <c r="B284" s="1" t="s">
        <v>129</v>
      </c>
      <c r="C284" s="1" t="s">
        <v>149</v>
      </c>
      <c r="D284" s="1" t="s">
        <v>159</v>
      </c>
      <c r="E284" s="1">
        <v>3</v>
      </c>
      <c r="F284" s="1">
        <v>145</v>
      </c>
      <c r="G284" s="1">
        <v>100</v>
      </c>
      <c r="H284" s="1">
        <v>435</v>
      </c>
      <c r="I284">
        <f t="shared" si="4"/>
        <v>135</v>
      </c>
    </row>
    <row r="285" spans="1:9" x14ac:dyDescent="0.3">
      <c r="A285" s="7" t="s">
        <v>81</v>
      </c>
      <c r="B285" s="1" t="s">
        <v>130</v>
      </c>
      <c r="C285" s="1" t="s">
        <v>147</v>
      </c>
      <c r="D285" s="1" t="s">
        <v>167</v>
      </c>
      <c r="E285" s="1">
        <v>2</v>
      </c>
      <c r="F285" s="1">
        <v>89.99</v>
      </c>
      <c r="G285" s="1">
        <v>60</v>
      </c>
      <c r="H285" s="1">
        <v>179.98</v>
      </c>
      <c r="I285">
        <f t="shared" si="4"/>
        <v>59.97999999999999</v>
      </c>
    </row>
    <row r="286" spans="1:9" x14ac:dyDescent="0.3">
      <c r="A286" s="7" t="s">
        <v>83</v>
      </c>
      <c r="B286" s="1" t="s">
        <v>131</v>
      </c>
      <c r="C286" s="1" t="s">
        <v>148</v>
      </c>
      <c r="D286" s="1" t="s">
        <v>159</v>
      </c>
      <c r="E286" s="1">
        <v>3</v>
      </c>
      <c r="F286" s="1">
        <v>145</v>
      </c>
      <c r="G286" s="1">
        <v>100</v>
      </c>
      <c r="H286" s="1">
        <v>435</v>
      </c>
      <c r="I286">
        <f t="shared" si="4"/>
        <v>135</v>
      </c>
    </row>
    <row r="287" spans="1:9" x14ac:dyDescent="0.3">
      <c r="A287" s="7" t="s">
        <v>80</v>
      </c>
      <c r="B287" s="1" t="s">
        <v>132</v>
      </c>
      <c r="C287" s="1" t="s">
        <v>147</v>
      </c>
      <c r="D287" s="1" t="s">
        <v>152</v>
      </c>
      <c r="E287" s="1">
        <v>4</v>
      </c>
      <c r="F287" s="1">
        <v>45</v>
      </c>
      <c r="G287" s="1">
        <v>28</v>
      </c>
      <c r="H287" s="1">
        <v>180</v>
      </c>
      <c r="I287">
        <f t="shared" si="4"/>
        <v>68</v>
      </c>
    </row>
    <row r="288" spans="1:9" x14ac:dyDescent="0.3">
      <c r="A288" s="7" t="s">
        <v>15</v>
      </c>
      <c r="B288" s="1" t="s">
        <v>133</v>
      </c>
      <c r="C288" s="1" t="s">
        <v>149</v>
      </c>
      <c r="D288" s="1" t="s">
        <v>166</v>
      </c>
      <c r="E288" s="1">
        <v>3</v>
      </c>
      <c r="F288" s="1">
        <v>25</v>
      </c>
      <c r="G288" s="1">
        <v>12</v>
      </c>
      <c r="H288" s="1">
        <v>75</v>
      </c>
      <c r="I288">
        <f t="shared" si="4"/>
        <v>39</v>
      </c>
    </row>
    <row r="289" spans="1:9" x14ac:dyDescent="0.3">
      <c r="A289" s="7" t="s">
        <v>101</v>
      </c>
      <c r="B289" s="1" t="s">
        <v>134</v>
      </c>
      <c r="C289" s="1" t="s">
        <v>150</v>
      </c>
      <c r="D289" s="1" t="s">
        <v>155</v>
      </c>
      <c r="E289" s="1">
        <v>3</v>
      </c>
      <c r="F289" s="1">
        <v>59.99</v>
      </c>
      <c r="G289" s="1">
        <v>35</v>
      </c>
      <c r="H289" s="1">
        <v>179.97</v>
      </c>
      <c r="I289">
        <f t="shared" si="4"/>
        <v>74.97</v>
      </c>
    </row>
    <row r="290" spans="1:9" x14ac:dyDescent="0.3">
      <c r="A290" s="7" t="s">
        <v>58</v>
      </c>
      <c r="B290" s="1" t="s">
        <v>135</v>
      </c>
      <c r="C290" s="1" t="s">
        <v>147</v>
      </c>
      <c r="D290" s="1" t="s">
        <v>156</v>
      </c>
      <c r="E290" s="1">
        <v>3</v>
      </c>
      <c r="F290" s="1">
        <v>9.99</v>
      </c>
      <c r="G290" s="1">
        <v>4.5</v>
      </c>
      <c r="H290" s="1">
        <v>29.97</v>
      </c>
      <c r="I290">
        <f t="shared" si="4"/>
        <v>16.47</v>
      </c>
    </row>
    <row r="291" spans="1:9" x14ac:dyDescent="0.3">
      <c r="A291" s="7" t="s">
        <v>117</v>
      </c>
      <c r="B291" s="1" t="s">
        <v>136</v>
      </c>
      <c r="C291" s="1" t="s">
        <v>148</v>
      </c>
      <c r="D291" s="1" t="s">
        <v>155</v>
      </c>
      <c r="E291" s="1">
        <v>4</v>
      </c>
      <c r="F291" s="1">
        <v>59.99</v>
      </c>
      <c r="G291" s="1">
        <v>35</v>
      </c>
      <c r="H291" s="1">
        <v>239.96</v>
      </c>
      <c r="I291">
        <f t="shared" si="4"/>
        <v>99.960000000000008</v>
      </c>
    </row>
    <row r="292" spans="1:9" x14ac:dyDescent="0.3">
      <c r="A292" s="7" t="s">
        <v>59</v>
      </c>
      <c r="B292" s="1" t="s">
        <v>137</v>
      </c>
      <c r="C292" s="1" t="s">
        <v>147</v>
      </c>
      <c r="D292" s="1" t="s">
        <v>169</v>
      </c>
      <c r="E292" s="1">
        <v>4</v>
      </c>
      <c r="F292" s="1">
        <v>15.99</v>
      </c>
      <c r="G292" s="1">
        <v>9</v>
      </c>
      <c r="H292" s="1">
        <v>63.96</v>
      </c>
      <c r="I292">
        <f t="shared" si="4"/>
        <v>27.96</v>
      </c>
    </row>
    <row r="293" spans="1:9" x14ac:dyDescent="0.3">
      <c r="A293" s="7" t="s">
        <v>34</v>
      </c>
      <c r="B293" s="1" t="s">
        <v>138</v>
      </c>
      <c r="C293" s="1" t="s">
        <v>150</v>
      </c>
      <c r="D293" s="1" t="s">
        <v>166</v>
      </c>
      <c r="E293" s="1">
        <v>5</v>
      </c>
      <c r="F293" s="1">
        <v>25</v>
      </c>
      <c r="G293" s="1">
        <v>12</v>
      </c>
      <c r="H293" s="1">
        <v>125</v>
      </c>
      <c r="I293">
        <f t="shared" si="4"/>
        <v>65</v>
      </c>
    </row>
    <row r="294" spans="1:9" x14ac:dyDescent="0.3">
      <c r="A294" s="7" t="s">
        <v>18</v>
      </c>
      <c r="B294" s="1" t="s">
        <v>139</v>
      </c>
      <c r="C294" s="1" t="s">
        <v>150</v>
      </c>
      <c r="D294" s="1" t="s">
        <v>156</v>
      </c>
      <c r="E294" s="1">
        <v>5</v>
      </c>
      <c r="F294" s="1">
        <v>9.99</v>
      </c>
      <c r="G294" s="1">
        <v>4.5</v>
      </c>
      <c r="H294" s="1">
        <v>49.95</v>
      </c>
      <c r="I294">
        <f t="shared" si="4"/>
        <v>27.450000000000003</v>
      </c>
    </row>
    <row r="295" spans="1:9" x14ac:dyDescent="0.3">
      <c r="A295" s="7" t="s">
        <v>119</v>
      </c>
      <c r="B295" s="1" t="s">
        <v>140</v>
      </c>
      <c r="C295" s="1" t="s">
        <v>148</v>
      </c>
      <c r="D295" s="1" t="s">
        <v>169</v>
      </c>
      <c r="E295" s="1">
        <v>5</v>
      </c>
      <c r="F295" s="1">
        <v>15.99</v>
      </c>
      <c r="G295" s="1">
        <v>9</v>
      </c>
      <c r="H295" s="1">
        <v>79.95</v>
      </c>
      <c r="I295">
        <f t="shared" si="4"/>
        <v>34.950000000000003</v>
      </c>
    </row>
    <row r="296" spans="1:9" x14ac:dyDescent="0.3">
      <c r="A296" s="7" t="s">
        <v>26</v>
      </c>
      <c r="B296" s="1" t="s">
        <v>141</v>
      </c>
      <c r="C296" s="1" t="s">
        <v>147</v>
      </c>
      <c r="D296" s="1" t="s">
        <v>168</v>
      </c>
      <c r="E296" s="1">
        <v>3</v>
      </c>
      <c r="F296" s="1">
        <v>129.99</v>
      </c>
      <c r="G296" s="1">
        <v>95</v>
      </c>
      <c r="H296" s="1">
        <v>389.97</v>
      </c>
      <c r="I296">
        <f t="shared" si="4"/>
        <v>104.97000000000003</v>
      </c>
    </row>
    <row r="297" spans="1:9" x14ac:dyDescent="0.3">
      <c r="A297" s="7" t="s">
        <v>101</v>
      </c>
      <c r="B297" s="1" t="s">
        <v>142</v>
      </c>
      <c r="C297" s="1" t="s">
        <v>148</v>
      </c>
      <c r="D297" s="1" t="s">
        <v>166</v>
      </c>
      <c r="E297" s="1">
        <v>1</v>
      </c>
      <c r="F297" s="1">
        <v>25</v>
      </c>
      <c r="G297" s="1">
        <v>12</v>
      </c>
      <c r="H297" s="1">
        <v>25</v>
      </c>
      <c r="I297">
        <f t="shared" si="4"/>
        <v>13</v>
      </c>
    </row>
    <row r="298" spans="1:9" x14ac:dyDescent="0.3">
      <c r="A298" s="7" t="s">
        <v>113</v>
      </c>
      <c r="B298" s="1" t="s">
        <v>143</v>
      </c>
      <c r="C298" s="1" t="s">
        <v>150</v>
      </c>
      <c r="D298" s="1" t="s">
        <v>166</v>
      </c>
      <c r="E298" s="1">
        <v>5</v>
      </c>
      <c r="F298" s="1">
        <v>25</v>
      </c>
      <c r="G298" s="1">
        <v>12</v>
      </c>
      <c r="H298" s="1">
        <v>125</v>
      </c>
      <c r="I298">
        <f t="shared" si="4"/>
        <v>65</v>
      </c>
    </row>
    <row r="299" spans="1:9" x14ac:dyDescent="0.3">
      <c r="A299" s="7" t="s">
        <v>93</v>
      </c>
      <c r="B299" s="1" t="s">
        <v>144</v>
      </c>
      <c r="C299" s="1" t="s">
        <v>150</v>
      </c>
      <c r="D299" s="1" t="s">
        <v>170</v>
      </c>
      <c r="E299" s="1">
        <v>2</v>
      </c>
      <c r="F299" s="1">
        <v>2.99</v>
      </c>
      <c r="G299" s="1">
        <v>1</v>
      </c>
      <c r="H299" s="1">
        <v>5.98</v>
      </c>
      <c r="I299">
        <f t="shared" si="4"/>
        <v>3.9800000000000004</v>
      </c>
    </row>
    <row r="300" spans="1:9" x14ac:dyDescent="0.3">
      <c r="A300" s="7" t="s">
        <v>13</v>
      </c>
      <c r="B300" s="1" t="s">
        <v>145</v>
      </c>
      <c r="C300" s="1" t="s">
        <v>148</v>
      </c>
      <c r="D300" s="1" t="s">
        <v>164</v>
      </c>
      <c r="E300" s="1">
        <v>3</v>
      </c>
      <c r="F300" s="1">
        <v>39.99</v>
      </c>
      <c r="G300" s="1">
        <v>22</v>
      </c>
      <c r="H300" s="1">
        <v>119.97</v>
      </c>
      <c r="I300">
        <f t="shared" si="4"/>
        <v>53.97</v>
      </c>
    </row>
    <row r="301" spans="1:9" x14ac:dyDescent="0.3">
      <c r="A301" s="7" t="s">
        <v>118</v>
      </c>
      <c r="B301" s="1" t="s">
        <v>146</v>
      </c>
      <c r="C301" s="1" t="s">
        <v>149</v>
      </c>
      <c r="D301" s="1" t="s">
        <v>155</v>
      </c>
      <c r="E301" s="1">
        <v>2</v>
      </c>
      <c r="F301" s="1">
        <v>59.99</v>
      </c>
      <c r="G301" s="1">
        <v>35</v>
      </c>
      <c r="H301" s="1">
        <v>119.98</v>
      </c>
      <c r="I301">
        <f t="shared" si="4"/>
        <v>49.980000000000004</v>
      </c>
    </row>
    <row r="302" spans="1:9" x14ac:dyDescent="0.3">
      <c r="A302" s="7" t="s">
        <v>50</v>
      </c>
      <c r="B302" s="1" t="s">
        <v>127</v>
      </c>
      <c r="C302" s="1" t="s">
        <v>149</v>
      </c>
      <c r="D302" s="1" t="s">
        <v>167</v>
      </c>
      <c r="E302" s="1">
        <v>1</v>
      </c>
      <c r="F302" s="1">
        <v>89.99</v>
      </c>
      <c r="G302" s="1">
        <v>60</v>
      </c>
      <c r="H302" s="1">
        <v>89.99</v>
      </c>
      <c r="I302">
        <f t="shared" si="4"/>
        <v>29.989999999999995</v>
      </c>
    </row>
    <row r="303" spans="1:9" x14ac:dyDescent="0.3">
      <c r="A303" s="7" t="s">
        <v>10</v>
      </c>
      <c r="B303" s="1" t="s">
        <v>128</v>
      </c>
      <c r="C303" s="1" t="s">
        <v>150</v>
      </c>
      <c r="D303" s="1" t="s">
        <v>157</v>
      </c>
      <c r="E303" s="1">
        <v>2</v>
      </c>
      <c r="F303" s="1">
        <v>120</v>
      </c>
      <c r="G303" s="1">
        <v>80</v>
      </c>
      <c r="H303" s="1">
        <v>240</v>
      </c>
      <c r="I303">
        <f t="shared" si="4"/>
        <v>80</v>
      </c>
    </row>
    <row r="304" spans="1:9" x14ac:dyDescent="0.3">
      <c r="A304" s="7" t="s">
        <v>48</v>
      </c>
      <c r="B304" s="1" t="s">
        <v>129</v>
      </c>
      <c r="C304" s="1" t="s">
        <v>148</v>
      </c>
      <c r="D304" s="1" t="s">
        <v>159</v>
      </c>
      <c r="E304" s="1">
        <v>4</v>
      </c>
      <c r="F304" s="1">
        <v>145</v>
      </c>
      <c r="G304" s="1">
        <v>100</v>
      </c>
      <c r="H304" s="1">
        <v>580</v>
      </c>
      <c r="I304">
        <f t="shared" si="4"/>
        <v>180</v>
      </c>
    </row>
    <row r="305" spans="1:9" x14ac:dyDescent="0.3">
      <c r="A305" s="7" t="s">
        <v>120</v>
      </c>
      <c r="B305" s="1" t="s">
        <v>130</v>
      </c>
      <c r="C305" s="1" t="s">
        <v>150</v>
      </c>
      <c r="D305" s="1" t="s">
        <v>157</v>
      </c>
      <c r="E305" s="1">
        <v>5</v>
      </c>
      <c r="F305" s="1">
        <v>120</v>
      </c>
      <c r="G305" s="1">
        <v>80</v>
      </c>
      <c r="H305" s="1">
        <v>600</v>
      </c>
      <c r="I305">
        <f t="shared" si="4"/>
        <v>200</v>
      </c>
    </row>
    <row r="306" spans="1:9" x14ac:dyDescent="0.3">
      <c r="A306" s="7" t="s">
        <v>60</v>
      </c>
      <c r="B306" s="1" t="s">
        <v>131</v>
      </c>
      <c r="C306" s="1" t="s">
        <v>149</v>
      </c>
      <c r="D306" s="1" t="s">
        <v>151</v>
      </c>
      <c r="E306" s="1">
        <v>1</v>
      </c>
      <c r="F306" s="1">
        <v>22.99</v>
      </c>
      <c r="G306" s="1">
        <v>14</v>
      </c>
      <c r="H306" s="1">
        <v>22.99</v>
      </c>
      <c r="I306">
        <f t="shared" si="4"/>
        <v>8.9899999999999984</v>
      </c>
    </row>
    <row r="307" spans="1:9" x14ac:dyDescent="0.3">
      <c r="A307" s="7" t="s">
        <v>18</v>
      </c>
      <c r="B307" s="1" t="s">
        <v>132</v>
      </c>
      <c r="C307" s="1" t="s">
        <v>149</v>
      </c>
      <c r="D307" s="1" t="s">
        <v>170</v>
      </c>
      <c r="E307" s="1">
        <v>2</v>
      </c>
      <c r="F307" s="1">
        <v>2.99</v>
      </c>
      <c r="G307" s="1">
        <v>1</v>
      </c>
      <c r="H307" s="1">
        <v>5.98</v>
      </c>
      <c r="I307">
        <f t="shared" si="4"/>
        <v>3.9800000000000004</v>
      </c>
    </row>
    <row r="308" spans="1:9" x14ac:dyDescent="0.3">
      <c r="A308" s="7" t="s">
        <v>52</v>
      </c>
      <c r="B308" s="1" t="s">
        <v>133</v>
      </c>
      <c r="C308" s="1" t="s">
        <v>150</v>
      </c>
      <c r="D308" s="1" t="s">
        <v>160</v>
      </c>
      <c r="E308" s="1">
        <v>5</v>
      </c>
      <c r="F308" s="1">
        <v>3.5</v>
      </c>
      <c r="G308" s="1">
        <v>1.2</v>
      </c>
      <c r="H308" s="1">
        <v>17.5</v>
      </c>
      <c r="I308">
        <f t="shared" si="4"/>
        <v>11.5</v>
      </c>
    </row>
    <row r="309" spans="1:9" x14ac:dyDescent="0.3">
      <c r="A309" s="7" t="s">
        <v>33</v>
      </c>
      <c r="B309" s="1" t="s">
        <v>134</v>
      </c>
      <c r="C309" s="1" t="s">
        <v>148</v>
      </c>
      <c r="D309" s="1" t="s">
        <v>168</v>
      </c>
      <c r="E309" s="1">
        <v>3</v>
      </c>
      <c r="F309" s="1">
        <v>129.99</v>
      </c>
      <c r="G309" s="1">
        <v>95</v>
      </c>
      <c r="H309" s="1">
        <v>389.97</v>
      </c>
      <c r="I309">
        <f t="shared" si="4"/>
        <v>104.97000000000003</v>
      </c>
    </row>
    <row r="310" spans="1:9" x14ac:dyDescent="0.3">
      <c r="A310" s="7" t="s">
        <v>113</v>
      </c>
      <c r="B310" s="1" t="s">
        <v>135</v>
      </c>
      <c r="C310" s="1" t="s">
        <v>147</v>
      </c>
      <c r="D310" s="1" t="s">
        <v>170</v>
      </c>
      <c r="E310" s="1">
        <v>4</v>
      </c>
      <c r="F310" s="1">
        <v>2.99</v>
      </c>
      <c r="G310" s="1">
        <v>1</v>
      </c>
      <c r="H310" s="1">
        <v>11.96</v>
      </c>
      <c r="I310">
        <f t="shared" si="4"/>
        <v>7.9600000000000009</v>
      </c>
    </row>
    <row r="311" spans="1:9" x14ac:dyDescent="0.3">
      <c r="A311" s="7" t="s">
        <v>90</v>
      </c>
      <c r="B311" s="1" t="s">
        <v>136</v>
      </c>
      <c r="C311" s="1" t="s">
        <v>150</v>
      </c>
      <c r="D311" s="1" t="s">
        <v>168</v>
      </c>
      <c r="E311" s="1">
        <v>4</v>
      </c>
      <c r="F311" s="1">
        <v>129.99</v>
      </c>
      <c r="G311" s="1">
        <v>95</v>
      </c>
      <c r="H311" s="1">
        <v>519.96</v>
      </c>
      <c r="I311">
        <f t="shared" si="4"/>
        <v>139.96000000000004</v>
      </c>
    </row>
    <row r="312" spans="1:9" x14ac:dyDescent="0.3">
      <c r="A312" s="7" t="s">
        <v>69</v>
      </c>
      <c r="B312" s="1" t="s">
        <v>137</v>
      </c>
      <c r="C312" s="1" t="s">
        <v>148</v>
      </c>
      <c r="D312" s="1" t="s">
        <v>161</v>
      </c>
      <c r="E312" s="1">
        <v>2</v>
      </c>
      <c r="F312" s="1">
        <v>79.989999999999995</v>
      </c>
      <c r="G312" s="1">
        <v>50</v>
      </c>
      <c r="H312" s="1">
        <v>159.97999999999999</v>
      </c>
      <c r="I312">
        <f t="shared" si="4"/>
        <v>59.97999999999999</v>
      </c>
    </row>
    <row r="313" spans="1:9" x14ac:dyDescent="0.3">
      <c r="A313" s="7" t="s">
        <v>14</v>
      </c>
      <c r="B313" s="1" t="s">
        <v>138</v>
      </c>
      <c r="C313" s="1" t="s">
        <v>148</v>
      </c>
      <c r="D313" s="1" t="s">
        <v>160</v>
      </c>
      <c r="E313" s="1">
        <v>4</v>
      </c>
      <c r="F313" s="1">
        <v>3.5</v>
      </c>
      <c r="G313" s="1">
        <v>1.2</v>
      </c>
      <c r="H313" s="1">
        <v>14</v>
      </c>
      <c r="I313">
        <f t="shared" si="4"/>
        <v>9.1999999999999993</v>
      </c>
    </row>
    <row r="314" spans="1:9" x14ac:dyDescent="0.3">
      <c r="A314" s="7" t="s">
        <v>67</v>
      </c>
      <c r="B314" s="1" t="s">
        <v>139</v>
      </c>
      <c r="C314" s="1" t="s">
        <v>147</v>
      </c>
      <c r="D314" s="1" t="s">
        <v>153</v>
      </c>
      <c r="E314" s="1">
        <v>4</v>
      </c>
      <c r="F314" s="1">
        <v>12.5</v>
      </c>
      <c r="G314" s="1">
        <v>6.2</v>
      </c>
      <c r="H314" s="1">
        <v>50</v>
      </c>
      <c r="I314">
        <f t="shared" si="4"/>
        <v>25.2</v>
      </c>
    </row>
    <row r="315" spans="1:9" x14ac:dyDescent="0.3">
      <c r="A315" s="7" t="s">
        <v>87</v>
      </c>
      <c r="B315" s="1" t="s">
        <v>140</v>
      </c>
      <c r="C315" s="1" t="s">
        <v>147</v>
      </c>
      <c r="D315" s="1" t="s">
        <v>154</v>
      </c>
      <c r="E315" s="1">
        <v>1</v>
      </c>
      <c r="F315" s="1">
        <v>11.99</v>
      </c>
      <c r="G315" s="1">
        <v>5</v>
      </c>
      <c r="H315" s="1">
        <v>11.99</v>
      </c>
      <c r="I315">
        <f t="shared" si="4"/>
        <v>6.99</v>
      </c>
    </row>
    <row r="316" spans="1:9" x14ac:dyDescent="0.3">
      <c r="A316" s="7" t="s">
        <v>82</v>
      </c>
      <c r="B316" s="1" t="s">
        <v>141</v>
      </c>
      <c r="C316" s="1" t="s">
        <v>149</v>
      </c>
      <c r="D316" s="1" t="s">
        <v>163</v>
      </c>
      <c r="E316" s="1">
        <v>5</v>
      </c>
      <c r="F316" s="1">
        <v>14.99</v>
      </c>
      <c r="G316" s="1">
        <v>8</v>
      </c>
      <c r="H316" s="1">
        <v>74.95</v>
      </c>
      <c r="I316">
        <f t="shared" si="4"/>
        <v>34.950000000000003</v>
      </c>
    </row>
    <row r="317" spans="1:9" x14ac:dyDescent="0.3">
      <c r="A317" s="7" t="s">
        <v>111</v>
      </c>
      <c r="B317" s="1" t="s">
        <v>142</v>
      </c>
      <c r="C317" s="1" t="s">
        <v>147</v>
      </c>
      <c r="D317" s="1" t="s">
        <v>170</v>
      </c>
      <c r="E317" s="1">
        <v>5</v>
      </c>
      <c r="F317" s="1">
        <v>2.99</v>
      </c>
      <c r="G317" s="1">
        <v>1</v>
      </c>
      <c r="H317" s="1">
        <v>14.95</v>
      </c>
      <c r="I317">
        <f t="shared" si="4"/>
        <v>9.9499999999999993</v>
      </c>
    </row>
    <row r="318" spans="1:9" x14ac:dyDescent="0.3">
      <c r="A318" s="7" t="s">
        <v>65</v>
      </c>
      <c r="B318" s="1" t="s">
        <v>143</v>
      </c>
      <c r="C318" s="1" t="s">
        <v>147</v>
      </c>
      <c r="D318" s="1" t="s">
        <v>168</v>
      </c>
      <c r="E318" s="1">
        <v>3</v>
      </c>
      <c r="F318" s="1">
        <v>129.99</v>
      </c>
      <c r="G318" s="1">
        <v>95</v>
      </c>
      <c r="H318" s="1">
        <v>389.97</v>
      </c>
      <c r="I318">
        <f t="shared" si="4"/>
        <v>104.97000000000003</v>
      </c>
    </row>
    <row r="319" spans="1:9" x14ac:dyDescent="0.3">
      <c r="A319" s="7" t="s">
        <v>51</v>
      </c>
      <c r="B319" s="1" t="s">
        <v>144</v>
      </c>
      <c r="C319" s="1" t="s">
        <v>147</v>
      </c>
      <c r="D319" s="1" t="s">
        <v>154</v>
      </c>
      <c r="E319" s="1">
        <v>4</v>
      </c>
      <c r="F319" s="1">
        <v>11.99</v>
      </c>
      <c r="G319" s="1">
        <v>5</v>
      </c>
      <c r="H319" s="1">
        <v>47.96</v>
      </c>
      <c r="I319">
        <f t="shared" si="4"/>
        <v>27.96</v>
      </c>
    </row>
    <row r="320" spans="1:9" x14ac:dyDescent="0.3">
      <c r="A320" s="7" t="s">
        <v>10</v>
      </c>
      <c r="B320" s="1" t="s">
        <v>145</v>
      </c>
      <c r="C320" s="1" t="s">
        <v>149</v>
      </c>
      <c r="D320" s="1" t="s">
        <v>157</v>
      </c>
      <c r="E320" s="1">
        <v>1</v>
      </c>
      <c r="F320" s="1">
        <v>120</v>
      </c>
      <c r="G320" s="1">
        <v>80</v>
      </c>
      <c r="H320" s="1">
        <v>120</v>
      </c>
      <c r="I320">
        <f t="shared" si="4"/>
        <v>40</v>
      </c>
    </row>
    <row r="321" spans="1:9" x14ac:dyDescent="0.3">
      <c r="A321" s="7" t="s">
        <v>95</v>
      </c>
      <c r="B321" s="1" t="s">
        <v>146</v>
      </c>
      <c r="C321" s="1" t="s">
        <v>148</v>
      </c>
      <c r="D321" s="1" t="s">
        <v>154</v>
      </c>
      <c r="E321" s="1">
        <v>4</v>
      </c>
      <c r="F321" s="1">
        <v>11.99</v>
      </c>
      <c r="G321" s="1">
        <v>5</v>
      </c>
      <c r="H321" s="1">
        <v>47.96</v>
      </c>
      <c r="I321">
        <f t="shared" si="4"/>
        <v>27.96</v>
      </c>
    </row>
    <row r="322" spans="1:9" x14ac:dyDescent="0.3">
      <c r="A322" s="7" t="s">
        <v>114</v>
      </c>
      <c r="B322" s="1" t="s">
        <v>127</v>
      </c>
      <c r="C322" s="1" t="s">
        <v>150</v>
      </c>
      <c r="D322" s="1" t="s">
        <v>160</v>
      </c>
      <c r="E322" s="1">
        <v>3</v>
      </c>
      <c r="F322" s="1">
        <v>3.5</v>
      </c>
      <c r="G322" s="1">
        <v>1.2</v>
      </c>
      <c r="H322" s="1">
        <v>10.5</v>
      </c>
      <c r="I322">
        <f t="shared" si="4"/>
        <v>6.9</v>
      </c>
    </row>
    <row r="323" spans="1:9" x14ac:dyDescent="0.3">
      <c r="A323" s="7" t="s">
        <v>112</v>
      </c>
      <c r="B323" s="1" t="s">
        <v>128</v>
      </c>
      <c r="C323" s="1" t="s">
        <v>148</v>
      </c>
      <c r="D323" s="1" t="s">
        <v>165</v>
      </c>
      <c r="E323" s="1">
        <v>5</v>
      </c>
      <c r="F323" s="1">
        <v>18</v>
      </c>
      <c r="G323" s="1">
        <v>9</v>
      </c>
      <c r="H323" s="1">
        <v>90</v>
      </c>
      <c r="I323">
        <f t="shared" ref="I323:I386" si="5">H323-(G323*E323)</f>
        <v>45</v>
      </c>
    </row>
    <row r="324" spans="1:9" x14ac:dyDescent="0.3">
      <c r="A324" s="7" t="s">
        <v>47</v>
      </c>
      <c r="B324" s="1" t="s">
        <v>129</v>
      </c>
      <c r="C324" s="1" t="s">
        <v>150</v>
      </c>
      <c r="D324" s="1" t="s">
        <v>164</v>
      </c>
      <c r="E324" s="1">
        <v>2</v>
      </c>
      <c r="F324" s="1">
        <v>39.99</v>
      </c>
      <c r="G324" s="1">
        <v>22</v>
      </c>
      <c r="H324" s="1">
        <v>79.98</v>
      </c>
      <c r="I324">
        <f t="shared" si="5"/>
        <v>35.980000000000004</v>
      </c>
    </row>
    <row r="325" spans="1:9" x14ac:dyDescent="0.3">
      <c r="A325" s="7" t="s">
        <v>92</v>
      </c>
      <c r="B325" s="1" t="s">
        <v>130</v>
      </c>
      <c r="C325" s="1" t="s">
        <v>147</v>
      </c>
      <c r="D325" s="1" t="s">
        <v>156</v>
      </c>
      <c r="E325" s="1">
        <v>5</v>
      </c>
      <c r="F325" s="1">
        <v>9.99</v>
      </c>
      <c r="G325" s="1">
        <v>4.5</v>
      </c>
      <c r="H325" s="1">
        <v>49.95</v>
      </c>
      <c r="I325">
        <f t="shared" si="5"/>
        <v>27.450000000000003</v>
      </c>
    </row>
    <row r="326" spans="1:9" x14ac:dyDescent="0.3">
      <c r="A326" s="7" t="s">
        <v>88</v>
      </c>
      <c r="B326" s="1" t="s">
        <v>131</v>
      </c>
      <c r="C326" s="1" t="s">
        <v>150</v>
      </c>
      <c r="D326" s="1" t="s">
        <v>163</v>
      </c>
      <c r="E326" s="1">
        <v>1</v>
      </c>
      <c r="F326" s="1">
        <v>14.99</v>
      </c>
      <c r="G326" s="1">
        <v>8</v>
      </c>
      <c r="H326" s="1">
        <v>14.99</v>
      </c>
      <c r="I326">
        <f t="shared" si="5"/>
        <v>6.99</v>
      </c>
    </row>
    <row r="327" spans="1:9" x14ac:dyDescent="0.3">
      <c r="A327" s="7" t="s">
        <v>108</v>
      </c>
      <c r="B327" s="1" t="s">
        <v>132</v>
      </c>
      <c r="C327" s="1" t="s">
        <v>150</v>
      </c>
      <c r="D327" s="1" t="s">
        <v>152</v>
      </c>
      <c r="E327" s="1">
        <v>3</v>
      </c>
      <c r="F327" s="1">
        <v>45</v>
      </c>
      <c r="G327" s="1">
        <v>28</v>
      </c>
      <c r="H327" s="1">
        <v>135</v>
      </c>
      <c r="I327">
        <f t="shared" si="5"/>
        <v>51</v>
      </c>
    </row>
    <row r="328" spans="1:9" x14ac:dyDescent="0.3">
      <c r="A328" s="7" t="s">
        <v>116</v>
      </c>
      <c r="B328" s="1" t="s">
        <v>133</v>
      </c>
      <c r="C328" s="1" t="s">
        <v>149</v>
      </c>
      <c r="D328" s="1" t="s">
        <v>163</v>
      </c>
      <c r="E328" s="1">
        <v>2</v>
      </c>
      <c r="F328" s="1">
        <v>14.99</v>
      </c>
      <c r="G328" s="1">
        <v>8</v>
      </c>
      <c r="H328" s="1">
        <v>29.98</v>
      </c>
      <c r="I328">
        <f t="shared" si="5"/>
        <v>13.98</v>
      </c>
    </row>
    <row r="329" spans="1:9" x14ac:dyDescent="0.3">
      <c r="A329" s="7" t="s">
        <v>65</v>
      </c>
      <c r="B329" s="1" t="s">
        <v>134</v>
      </c>
      <c r="C329" s="1" t="s">
        <v>148</v>
      </c>
      <c r="D329" s="1" t="s">
        <v>170</v>
      </c>
      <c r="E329" s="1">
        <v>2</v>
      </c>
      <c r="F329" s="1">
        <v>2.99</v>
      </c>
      <c r="G329" s="1">
        <v>1</v>
      </c>
      <c r="H329" s="1">
        <v>5.98</v>
      </c>
      <c r="I329">
        <f t="shared" si="5"/>
        <v>3.9800000000000004</v>
      </c>
    </row>
    <row r="330" spans="1:9" x14ac:dyDescent="0.3">
      <c r="A330" s="7" t="s">
        <v>36</v>
      </c>
      <c r="B330" s="1" t="s">
        <v>135</v>
      </c>
      <c r="C330" s="1" t="s">
        <v>150</v>
      </c>
      <c r="D330" s="1" t="s">
        <v>165</v>
      </c>
      <c r="E330" s="1">
        <v>3</v>
      </c>
      <c r="F330" s="1">
        <v>18</v>
      </c>
      <c r="G330" s="1">
        <v>9</v>
      </c>
      <c r="H330" s="1">
        <v>54</v>
      </c>
      <c r="I330">
        <f t="shared" si="5"/>
        <v>27</v>
      </c>
    </row>
    <row r="331" spans="1:9" x14ac:dyDescent="0.3">
      <c r="A331" s="7" t="s">
        <v>68</v>
      </c>
      <c r="B331" s="1" t="s">
        <v>136</v>
      </c>
      <c r="C331" s="1" t="s">
        <v>147</v>
      </c>
      <c r="D331" s="1" t="s">
        <v>165</v>
      </c>
      <c r="E331" s="1">
        <v>1</v>
      </c>
      <c r="F331" s="1">
        <v>18</v>
      </c>
      <c r="G331" s="1">
        <v>9</v>
      </c>
      <c r="H331" s="1">
        <v>18</v>
      </c>
      <c r="I331">
        <f t="shared" si="5"/>
        <v>9</v>
      </c>
    </row>
    <row r="332" spans="1:9" x14ac:dyDescent="0.3">
      <c r="A332" s="7" t="s">
        <v>113</v>
      </c>
      <c r="B332" s="1" t="s">
        <v>137</v>
      </c>
      <c r="C332" s="1" t="s">
        <v>147</v>
      </c>
      <c r="D332" s="1" t="s">
        <v>159</v>
      </c>
      <c r="E332" s="1">
        <v>5</v>
      </c>
      <c r="F332" s="1">
        <v>145</v>
      </c>
      <c r="G332" s="1">
        <v>100</v>
      </c>
      <c r="H332" s="1">
        <v>725</v>
      </c>
      <c r="I332">
        <f t="shared" si="5"/>
        <v>225</v>
      </c>
    </row>
    <row r="333" spans="1:9" x14ac:dyDescent="0.3">
      <c r="A333" s="7" t="s">
        <v>74</v>
      </c>
      <c r="B333" s="1" t="s">
        <v>138</v>
      </c>
      <c r="C333" s="1" t="s">
        <v>148</v>
      </c>
      <c r="D333" s="1" t="s">
        <v>159</v>
      </c>
      <c r="E333" s="1">
        <v>5</v>
      </c>
      <c r="F333" s="1">
        <v>145</v>
      </c>
      <c r="G333" s="1">
        <v>100</v>
      </c>
      <c r="H333" s="1">
        <v>725</v>
      </c>
      <c r="I333">
        <f t="shared" si="5"/>
        <v>225</v>
      </c>
    </row>
    <row r="334" spans="1:9" x14ac:dyDescent="0.3">
      <c r="A334" s="7" t="s">
        <v>18</v>
      </c>
      <c r="B334" s="1" t="s">
        <v>139</v>
      </c>
      <c r="C334" s="1" t="s">
        <v>148</v>
      </c>
      <c r="D334" s="1" t="s">
        <v>157</v>
      </c>
      <c r="E334" s="1">
        <v>2</v>
      </c>
      <c r="F334" s="1">
        <v>120</v>
      </c>
      <c r="G334" s="1">
        <v>80</v>
      </c>
      <c r="H334" s="1">
        <v>240</v>
      </c>
      <c r="I334">
        <f t="shared" si="5"/>
        <v>80</v>
      </c>
    </row>
    <row r="335" spans="1:9" x14ac:dyDescent="0.3">
      <c r="A335" s="7" t="s">
        <v>8</v>
      </c>
      <c r="B335" s="1" t="s">
        <v>140</v>
      </c>
      <c r="C335" s="1" t="s">
        <v>148</v>
      </c>
      <c r="D335" s="1" t="s">
        <v>153</v>
      </c>
      <c r="E335" s="1">
        <v>2</v>
      </c>
      <c r="F335" s="1">
        <v>12.5</v>
      </c>
      <c r="G335" s="1">
        <v>6.2</v>
      </c>
      <c r="H335" s="1">
        <v>25</v>
      </c>
      <c r="I335">
        <f t="shared" si="5"/>
        <v>12.6</v>
      </c>
    </row>
    <row r="336" spans="1:9" x14ac:dyDescent="0.3">
      <c r="A336" s="7" t="s">
        <v>51</v>
      </c>
      <c r="B336" s="1" t="s">
        <v>141</v>
      </c>
      <c r="C336" s="1" t="s">
        <v>147</v>
      </c>
      <c r="D336" s="1" t="s">
        <v>166</v>
      </c>
      <c r="E336" s="1">
        <v>4</v>
      </c>
      <c r="F336" s="1">
        <v>25</v>
      </c>
      <c r="G336" s="1">
        <v>12</v>
      </c>
      <c r="H336" s="1">
        <v>100</v>
      </c>
      <c r="I336">
        <f t="shared" si="5"/>
        <v>52</v>
      </c>
    </row>
    <row r="337" spans="1:9" x14ac:dyDescent="0.3">
      <c r="A337" s="7" t="s">
        <v>87</v>
      </c>
      <c r="B337" s="1" t="s">
        <v>142</v>
      </c>
      <c r="C337" s="1" t="s">
        <v>150</v>
      </c>
      <c r="D337" s="1" t="s">
        <v>169</v>
      </c>
      <c r="E337" s="1">
        <v>4</v>
      </c>
      <c r="F337" s="1">
        <v>15.99</v>
      </c>
      <c r="G337" s="1">
        <v>9</v>
      </c>
      <c r="H337" s="1">
        <v>63.96</v>
      </c>
      <c r="I337">
        <f t="shared" si="5"/>
        <v>27.96</v>
      </c>
    </row>
    <row r="338" spans="1:9" x14ac:dyDescent="0.3">
      <c r="A338" s="7" t="s">
        <v>111</v>
      </c>
      <c r="B338" s="1" t="s">
        <v>143</v>
      </c>
      <c r="C338" s="1" t="s">
        <v>148</v>
      </c>
      <c r="D338" s="1" t="s">
        <v>165</v>
      </c>
      <c r="E338" s="1">
        <v>2</v>
      </c>
      <c r="F338" s="1">
        <v>18</v>
      </c>
      <c r="G338" s="1">
        <v>9</v>
      </c>
      <c r="H338" s="1">
        <v>36</v>
      </c>
      <c r="I338">
        <f t="shared" si="5"/>
        <v>18</v>
      </c>
    </row>
    <row r="339" spans="1:9" x14ac:dyDescent="0.3">
      <c r="A339" s="7" t="s">
        <v>121</v>
      </c>
      <c r="B339" s="1" t="s">
        <v>144</v>
      </c>
      <c r="C339" s="1" t="s">
        <v>148</v>
      </c>
      <c r="D339" s="1" t="s">
        <v>157</v>
      </c>
      <c r="E339" s="1">
        <v>1</v>
      </c>
      <c r="F339" s="1">
        <v>120</v>
      </c>
      <c r="G339" s="1">
        <v>80</v>
      </c>
      <c r="H339" s="1">
        <v>120</v>
      </c>
      <c r="I339">
        <f t="shared" si="5"/>
        <v>40</v>
      </c>
    </row>
    <row r="340" spans="1:9" x14ac:dyDescent="0.3">
      <c r="A340" s="7" t="s">
        <v>35</v>
      </c>
      <c r="B340" s="1" t="s">
        <v>145</v>
      </c>
      <c r="C340" s="1" t="s">
        <v>149</v>
      </c>
      <c r="D340" s="1" t="s">
        <v>152</v>
      </c>
      <c r="E340" s="1">
        <v>5</v>
      </c>
      <c r="F340" s="1">
        <v>45</v>
      </c>
      <c r="G340" s="1">
        <v>28</v>
      </c>
      <c r="H340" s="1">
        <v>225</v>
      </c>
      <c r="I340">
        <f t="shared" si="5"/>
        <v>85</v>
      </c>
    </row>
    <row r="341" spans="1:9" x14ac:dyDescent="0.3">
      <c r="A341" s="7" t="s">
        <v>85</v>
      </c>
      <c r="B341" s="1" t="s">
        <v>146</v>
      </c>
      <c r="C341" s="1" t="s">
        <v>148</v>
      </c>
      <c r="D341" s="1" t="s">
        <v>154</v>
      </c>
      <c r="E341" s="1">
        <v>3</v>
      </c>
      <c r="F341" s="1">
        <v>11.99</v>
      </c>
      <c r="G341" s="1">
        <v>5</v>
      </c>
      <c r="H341" s="1">
        <v>35.97</v>
      </c>
      <c r="I341">
        <f t="shared" si="5"/>
        <v>20.97</v>
      </c>
    </row>
    <row r="342" spans="1:9" x14ac:dyDescent="0.3">
      <c r="A342" s="7" t="s">
        <v>114</v>
      </c>
      <c r="B342" s="1" t="s">
        <v>127</v>
      </c>
      <c r="C342" s="1" t="s">
        <v>148</v>
      </c>
      <c r="D342" s="1" t="s">
        <v>161</v>
      </c>
      <c r="E342" s="1">
        <v>4</v>
      </c>
      <c r="F342" s="1">
        <v>79.989999999999995</v>
      </c>
      <c r="G342" s="1">
        <v>50</v>
      </c>
      <c r="H342" s="1">
        <v>319.95999999999998</v>
      </c>
      <c r="I342">
        <f t="shared" si="5"/>
        <v>119.95999999999998</v>
      </c>
    </row>
    <row r="343" spans="1:9" x14ac:dyDescent="0.3">
      <c r="A343" s="7" t="s">
        <v>52</v>
      </c>
      <c r="B343" s="1" t="s">
        <v>128</v>
      </c>
      <c r="C343" s="1" t="s">
        <v>150</v>
      </c>
      <c r="D343" s="1" t="s">
        <v>152</v>
      </c>
      <c r="E343" s="1">
        <v>4</v>
      </c>
      <c r="F343" s="1">
        <v>45</v>
      </c>
      <c r="G343" s="1">
        <v>28</v>
      </c>
      <c r="H343" s="1">
        <v>180</v>
      </c>
      <c r="I343">
        <f t="shared" si="5"/>
        <v>68</v>
      </c>
    </row>
    <row r="344" spans="1:9" x14ac:dyDescent="0.3">
      <c r="A344" s="7" t="s">
        <v>41</v>
      </c>
      <c r="B344" s="1" t="s">
        <v>129</v>
      </c>
      <c r="C344" s="1" t="s">
        <v>150</v>
      </c>
      <c r="D344" s="1" t="s">
        <v>152</v>
      </c>
      <c r="E344" s="1">
        <v>5</v>
      </c>
      <c r="F344" s="1">
        <v>45</v>
      </c>
      <c r="G344" s="1">
        <v>28</v>
      </c>
      <c r="H344" s="1">
        <v>225</v>
      </c>
      <c r="I344">
        <f t="shared" si="5"/>
        <v>85</v>
      </c>
    </row>
    <row r="345" spans="1:9" x14ac:dyDescent="0.3">
      <c r="A345" s="7" t="s">
        <v>58</v>
      </c>
      <c r="B345" s="1" t="s">
        <v>130</v>
      </c>
      <c r="C345" s="1" t="s">
        <v>148</v>
      </c>
      <c r="D345" s="1" t="s">
        <v>156</v>
      </c>
      <c r="E345" s="1">
        <v>1</v>
      </c>
      <c r="F345" s="1">
        <v>9.99</v>
      </c>
      <c r="G345" s="1">
        <v>4.5</v>
      </c>
      <c r="H345" s="1">
        <v>9.99</v>
      </c>
      <c r="I345">
        <f t="shared" si="5"/>
        <v>5.49</v>
      </c>
    </row>
    <row r="346" spans="1:9" x14ac:dyDescent="0.3">
      <c r="A346" s="7" t="s">
        <v>90</v>
      </c>
      <c r="B346" s="1" t="s">
        <v>131</v>
      </c>
      <c r="C346" s="1" t="s">
        <v>149</v>
      </c>
      <c r="D346" s="1" t="s">
        <v>163</v>
      </c>
      <c r="E346" s="1">
        <v>1</v>
      </c>
      <c r="F346" s="1">
        <v>14.99</v>
      </c>
      <c r="G346" s="1">
        <v>8</v>
      </c>
      <c r="H346" s="1">
        <v>14.99</v>
      </c>
      <c r="I346">
        <f t="shared" si="5"/>
        <v>6.99</v>
      </c>
    </row>
    <row r="347" spans="1:9" x14ac:dyDescent="0.3">
      <c r="A347" s="7" t="s">
        <v>102</v>
      </c>
      <c r="B347" s="1" t="s">
        <v>132</v>
      </c>
      <c r="C347" s="1" t="s">
        <v>149</v>
      </c>
      <c r="D347" s="1" t="s">
        <v>152</v>
      </c>
      <c r="E347" s="1">
        <v>1</v>
      </c>
      <c r="F347" s="1">
        <v>45</v>
      </c>
      <c r="G347" s="1">
        <v>28</v>
      </c>
      <c r="H347" s="1">
        <v>45</v>
      </c>
      <c r="I347">
        <f t="shared" si="5"/>
        <v>17</v>
      </c>
    </row>
    <row r="348" spans="1:9" x14ac:dyDescent="0.3">
      <c r="A348" s="7" t="s">
        <v>59</v>
      </c>
      <c r="B348" s="1" t="s">
        <v>133</v>
      </c>
      <c r="C348" s="1" t="s">
        <v>147</v>
      </c>
      <c r="D348" s="1" t="s">
        <v>169</v>
      </c>
      <c r="E348" s="1">
        <v>5</v>
      </c>
      <c r="F348" s="1">
        <v>15.99</v>
      </c>
      <c r="G348" s="1">
        <v>9</v>
      </c>
      <c r="H348" s="1">
        <v>79.95</v>
      </c>
      <c r="I348">
        <f t="shared" si="5"/>
        <v>34.950000000000003</v>
      </c>
    </row>
    <row r="349" spans="1:9" x14ac:dyDescent="0.3">
      <c r="A349" s="7" t="s">
        <v>26</v>
      </c>
      <c r="B349" s="1" t="s">
        <v>134</v>
      </c>
      <c r="C349" s="1" t="s">
        <v>149</v>
      </c>
      <c r="D349" s="1" t="s">
        <v>158</v>
      </c>
      <c r="E349" s="1">
        <v>1</v>
      </c>
      <c r="F349" s="1">
        <v>20</v>
      </c>
      <c r="G349" s="1">
        <v>12</v>
      </c>
      <c r="H349" s="1">
        <v>20</v>
      </c>
      <c r="I349">
        <f t="shared" si="5"/>
        <v>8</v>
      </c>
    </row>
    <row r="350" spans="1:9" x14ac:dyDescent="0.3">
      <c r="A350" s="7" t="s">
        <v>92</v>
      </c>
      <c r="B350" s="1" t="s">
        <v>135</v>
      </c>
      <c r="C350" s="1" t="s">
        <v>150</v>
      </c>
      <c r="D350" s="1" t="s">
        <v>157</v>
      </c>
      <c r="E350" s="1">
        <v>4</v>
      </c>
      <c r="F350" s="1">
        <v>120</v>
      </c>
      <c r="G350" s="1">
        <v>80</v>
      </c>
      <c r="H350" s="1">
        <v>480</v>
      </c>
      <c r="I350">
        <f t="shared" si="5"/>
        <v>160</v>
      </c>
    </row>
    <row r="351" spans="1:9" x14ac:dyDescent="0.3">
      <c r="A351" s="7" t="s">
        <v>50</v>
      </c>
      <c r="B351" s="1" t="s">
        <v>136</v>
      </c>
      <c r="C351" s="1" t="s">
        <v>149</v>
      </c>
      <c r="D351" s="1" t="s">
        <v>162</v>
      </c>
      <c r="E351" s="1">
        <v>4</v>
      </c>
      <c r="F351" s="1">
        <v>34.99</v>
      </c>
      <c r="G351" s="1">
        <v>18</v>
      </c>
      <c r="H351" s="1">
        <v>139.96</v>
      </c>
      <c r="I351">
        <f t="shared" si="5"/>
        <v>67.960000000000008</v>
      </c>
    </row>
    <row r="352" spans="1:9" x14ac:dyDescent="0.3">
      <c r="A352" s="7" t="s">
        <v>47</v>
      </c>
      <c r="B352" s="1" t="s">
        <v>137</v>
      </c>
      <c r="C352" s="1" t="s">
        <v>147</v>
      </c>
      <c r="D352" s="1" t="s">
        <v>155</v>
      </c>
      <c r="E352" s="1">
        <v>3</v>
      </c>
      <c r="F352" s="1">
        <v>59.99</v>
      </c>
      <c r="G352" s="1">
        <v>35</v>
      </c>
      <c r="H352" s="1">
        <v>179.97</v>
      </c>
      <c r="I352">
        <f t="shared" si="5"/>
        <v>74.97</v>
      </c>
    </row>
    <row r="353" spans="1:9" x14ac:dyDescent="0.3">
      <c r="A353" s="7" t="s">
        <v>90</v>
      </c>
      <c r="B353" s="1" t="s">
        <v>138</v>
      </c>
      <c r="C353" s="1" t="s">
        <v>147</v>
      </c>
      <c r="D353" s="1" t="s">
        <v>163</v>
      </c>
      <c r="E353" s="1">
        <v>5</v>
      </c>
      <c r="F353" s="1">
        <v>14.99</v>
      </c>
      <c r="G353" s="1">
        <v>8</v>
      </c>
      <c r="H353" s="1">
        <v>74.95</v>
      </c>
      <c r="I353">
        <f t="shared" si="5"/>
        <v>34.950000000000003</v>
      </c>
    </row>
    <row r="354" spans="1:9" x14ac:dyDescent="0.3">
      <c r="A354" s="7" t="s">
        <v>110</v>
      </c>
      <c r="B354" s="1" t="s">
        <v>139</v>
      </c>
      <c r="C354" s="1" t="s">
        <v>150</v>
      </c>
      <c r="D354" s="1" t="s">
        <v>166</v>
      </c>
      <c r="E354" s="1">
        <v>5</v>
      </c>
      <c r="F354" s="1">
        <v>25</v>
      </c>
      <c r="G354" s="1">
        <v>12</v>
      </c>
      <c r="H354" s="1">
        <v>125</v>
      </c>
      <c r="I354">
        <f t="shared" si="5"/>
        <v>65</v>
      </c>
    </row>
    <row r="355" spans="1:9" x14ac:dyDescent="0.3">
      <c r="A355" s="7" t="s">
        <v>93</v>
      </c>
      <c r="B355" s="1" t="s">
        <v>140</v>
      </c>
      <c r="C355" s="1" t="s">
        <v>149</v>
      </c>
      <c r="D355" s="1" t="s">
        <v>163</v>
      </c>
      <c r="E355" s="1">
        <v>2</v>
      </c>
      <c r="F355" s="1">
        <v>14.99</v>
      </c>
      <c r="G355" s="1">
        <v>8</v>
      </c>
      <c r="H355" s="1">
        <v>29.98</v>
      </c>
      <c r="I355">
        <f t="shared" si="5"/>
        <v>13.98</v>
      </c>
    </row>
    <row r="356" spans="1:9" x14ac:dyDescent="0.3">
      <c r="A356" s="7" t="s">
        <v>41</v>
      </c>
      <c r="B356" s="1" t="s">
        <v>141</v>
      </c>
      <c r="C356" s="1" t="s">
        <v>148</v>
      </c>
      <c r="D356" s="1" t="s">
        <v>160</v>
      </c>
      <c r="E356" s="1">
        <v>5</v>
      </c>
      <c r="F356" s="1">
        <v>3.5</v>
      </c>
      <c r="G356" s="1">
        <v>1.2</v>
      </c>
      <c r="H356" s="1">
        <v>17.5</v>
      </c>
      <c r="I356">
        <f t="shared" si="5"/>
        <v>11.5</v>
      </c>
    </row>
    <row r="357" spans="1:9" x14ac:dyDescent="0.3">
      <c r="A357" s="7" t="s">
        <v>45</v>
      </c>
      <c r="B357" s="1" t="s">
        <v>142</v>
      </c>
      <c r="C357" s="1" t="s">
        <v>149</v>
      </c>
      <c r="D357" s="1" t="s">
        <v>165</v>
      </c>
      <c r="E357" s="1">
        <v>5</v>
      </c>
      <c r="F357" s="1">
        <v>18</v>
      </c>
      <c r="G357" s="1">
        <v>9</v>
      </c>
      <c r="H357" s="1">
        <v>90</v>
      </c>
      <c r="I357">
        <f t="shared" si="5"/>
        <v>45</v>
      </c>
    </row>
    <row r="358" spans="1:9" x14ac:dyDescent="0.3">
      <c r="A358" s="7" t="s">
        <v>63</v>
      </c>
      <c r="B358" s="1" t="s">
        <v>143</v>
      </c>
      <c r="C358" s="1" t="s">
        <v>150</v>
      </c>
      <c r="D358" s="1" t="s">
        <v>156</v>
      </c>
      <c r="E358" s="1">
        <v>3</v>
      </c>
      <c r="F358" s="1">
        <v>9.99</v>
      </c>
      <c r="G358" s="1">
        <v>4.5</v>
      </c>
      <c r="H358" s="1">
        <v>29.97</v>
      </c>
      <c r="I358">
        <f t="shared" si="5"/>
        <v>16.47</v>
      </c>
    </row>
    <row r="359" spans="1:9" x14ac:dyDescent="0.3">
      <c r="A359" s="7" t="s">
        <v>45</v>
      </c>
      <c r="B359" s="1" t="s">
        <v>144</v>
      </c>
      <c r="C359" s="1" t="s">
        <v>148</v>
      </c>
      <c r="D359" s="1" t="s">
        <v>156</v>
      </c>
      <c r="E359" s="1">
        <v>2</v>
      </c>
      <c r="F359" s="1">
        <v>9.99</v>
      </c>
      <c r="G359" s="1">
        <v>4.5</v>
      </c>
      <c r="H359" s="1">
        <v>19.98</v>
      </c>
      <c r="I359">
        <f t="shared" si="5"/>
        <v>10.98</v>
      </c>
    </row>
    <row r="360" spans="1:9" x14ac:dyDescent="0.3">
      <c r="A360" s="7" t="s">
        <v>103</v>
      </c>
      <c r="B360" s="1" t="s">
        <v>145</v>
      </c>
      <c r="C360" s="1" t="s">
        <v>150</v>
      </c>
      <c r="D360" s="1" t="s">
        <v>170</v>
      </c>
      <c r="E360" s="1">
        <v>4</v>
      </c>
      <c r="F360" s="1">
        <v>2.99</v>
      </c>
      <c r="G360" s="1">
        <v>1</v>
      </c>
      <c r="H360" s="1">
        <v>11.96</v>
      </c>
      <c r="I360">
        <f t="shared" si="5"/>
        <v>7.9600000000000009</v>
      </c>
    </row>
    <row r="361" spans="1:9" x14ac:dyDescent="0.3">
      <c r="A361" s="7" t="s">
        <v>122</v>
      </c>
      <c r="B361" s="1" t="s">
        <v>146</v>
      </c>
      <c r="C361" s="1" t="s">
        <v>149</v>
      </c>
      <c r="D361" s="1" t="s">
        <v>159</v>
      </c>
      <c r="E361" s="1">
        <v>1</v>
      </c>
      <c r="F361" s="1">
        <v>145</v>
      </c>
      <c r="G361" s="1">
        <v>100</v>
      </c>
      <c r="H361" s="1">
        <v>145</v>
      </c>
      <c r="I361">
        <f t="shared" si="5"/>
        <v>45</v>
      </c>
    </row>
    <row r="362" spans="1:9" x14ac:dyDescent="0.3">
      <c r="A362" s="7" t="s">
        <v>31</v>
      </c>
      <c r="B362" s="1" t="s">
        <v>127</v>
      </c>
      <c r="C362" s="1" t="s">
        <v>149</v>
      </c>
      <c r="D362" s="1" t="s">
        <v>156</v>
      </c>
      <c r="E362" s="1">
        <v>2</v>
      </c>
      <c r="F362" s="1">
        <v>9.99</v>
      </c>
      <c r="G362" s="1">
        <v>4.5</v>
      </c>
      <c r="H362" s="1">
        <v>19.98</v>
      </c>
      <c r="I362">
        <f t="shared" si="5"/>
        <v>10.98</v>
      </c>
    </row>
    <row r="363" spans="1:9" x14ac:dyDescent="0.3">
      <c r="A363" s="7" t="s">
        <v>23</v>
      </c>
      <c r="B363" s="1" t="s">
        <v>128</v>
      </c>
      <c r="C363" s="1" t="s">
        <v>149</v>
      </c>
      <c r="D363" s="1" t="s">
        <v>153</v>
      </c>
      <c r="E363" s="1">
        <v>5</v>
      </c>
      <c r="F363" s="1">
        <v>12.5</v>
      </c>
      <c r="G363" s="1">
        <v>6.2</v>
      </c>
      <c r="H363" s="1">
        <v>62.5</v>
      </c>
      <c r="I363">
        <f t="shared" si="5"/>
        <v>31.5</v>
      </c>
    </row>
    <row r="364" spans="1:9" x14ac:dyDescent="0.3">
      <c r="A364" s="7" t="s">
        <v>93</v>
      </c>
      <c r="B364" s="1" t="s">
        <v>129</v>
      </c>
      <c r="C364" s="1" t="s">
        <v>149</v>
      </c>
      <c r="D364" s="1" t="s">
        <v>168</v>
      </c>
      <c r="E364" s="1">
        <v>3</v>
      </c>
      <c r="F364" s="1">
        <v>129.99</v>
      </c>
      <c r="G364" s="1">
        <v>95</v>
      </c>
      <c r="H364" s="1">
        <v>389.97</v>
      </c>
      <c r="I364">
        <f t="shared" si="5"/>
        <v>104.97000000000003</v>
      </c>
    </row>
    <row r="365" spans="1:9" x14ac:dyDescent="0.3">
      <c r="A365" s="7" t="s">
        <v>20</v>
      </c>
      <c r="B365" s="1" t="s">
        <v>130</v>
      </c>
      <c r="C365" s="1" t="s">
        <v>150</v>
      </c>
      <c r="D365" s="1" t="s">
        <v>170</v>
      </c>
      <c r="E365" s="1">
        <v>5</v>
      </c>
      <c r="F365" s="1">
        <v>2.99</v>
      </c>
      <c r="G365" s="1">
        <v>1</v>
      </c>
      <c r="H365" s="1">
        <v>14.95</v>
      </c>
      <c r="I365">
        <f t="shared" si="5"/>
        <v>9.9499999999999993</v>
      </c>
    </row>
    <row r="366" spans="1:9" x14ac:dyDescent="0.3">
      <c r="A366" s="7" t="s">
        <v>90</v>
      </c>
      <c r="B366" s="1" t="s">
        <v>131</v>
      </c>
      <c r="C366" s="1" t="s">
        <v>148</v>
      </c>
      <c r="D366" s="1" t="s">
        <v>167</v>
      </c>
      <c r="E366" s="1">
        <v>5</v>
      </c>
      <c r="F366" s="1">
        <v>89.99</v>
      </c>
      <c r="G366" s="1">
        <v>60</v>
      </c>
      <c r="H366" s="1">
        <v>449.95</v>
      </c>
      <c r="I366">
        <f t="shared" si="5"/>
        <v>149.94999999999999</v>
      </c>
    </row>
    <row r="367" spans="1:9" x14ac:dyDescent="0.3">
      <c r="A367" s="7" t="s">
        <v>20</v>
      </c>
      <c r="B367" s="1" t="s">
        <v>132</v>
      </c>
      <c r="C367" s="1" t="s">
        <v>148</v>
      </c>
      <c r="D367" s="1" t="s">
        <v>151</v>
      </c>
      <c r="E367" s="1">
        <v>5</v>
      </c>
      <c r="F367" s="1">
        <v>22.99</v>
      </c>
      <c r="G367" s="1">
        <v>14</v>
      </c>
      <c r="H367" s="1">
        <v>114.95</v>
      </c>
      <c r="I367">
        <f t="shared" si="5"/>
        <v>44.95</v>
      </c>
    </row>
    <row r="368" spans="1:9" x14ac:dyDescent="0.3">
      <c r="A368" s="7" t="s">
        <v>25</v>
      </c>
      <c r="B368" s="1" t="s">
        <v>133</v>
      </c>
      <c r="C368" s="1" t="s">
        <v>147</v>
      </c>
      <c r="D368" s="1" t="s">
        <v>165</v>
      </c>
      <c r="E368" s="1">
        <v>4</v>
      </c>
      <c r="F368" s="1">
        <v>18</v>
      </c>
      <c r="G368" s="1">
        <v>9</v>
      </c>
      <c r="H368" s="1">
        <v>72</v>
      </c>
      <c r="I368">
        <f t="shared" si="5"/>
        <v>36</v>
      </c>
    </row>
    <row r="369" spans="1:9" x14ac:dyDescent="0.3">
      <c r="A369" s="7" t="s">
        <v>119</v>
      </c>
      <c r="B369" s="1" t="s">
        <v>134</v>
      </c>
      <c r="C369" s="1" t="s">
        <v>149</v>
      </c>
      <c r="D369" s="1" t="s">
        <v>154</v>
      </c>
      <c r="E369" s="1">
        <v>3</v>
      </c>
      <c r="F369" s="1">
        <v>11.99</v>
      </c>
      <c r="G369" s="1">
        <v>5</v>
      </c>
      <c r="H369" s="1">
        <v>35.97</v>
      </c>
      <c r="I369">
        <f t="shared" si="5"/>
        <v>20.97</v>
      </c>
    </row>
    <row r="370" spans="1:9" x14ac:dyDescent="0.3">
      <c r="A370" s="7" t="s">
        <v>66</v>
      </c>
      <c r="B370" s="1" t="s">
        <v>135</v>
      </c>
      <c r="C370" s="1" t="s">
        <v>148</v>
      </c>
      <c r="D370" s="1" t="s">
        <v>168</v>
      </c>
      <c r="E370" s="1">
        <v>1</v>
      </c>
      <c r="F370" s="1">
        <v>129.99</v>
      </c>
      <c r="G370" s="1">
        <v>95</v>
      </c>
      <c r="H370" s="1">
        <v>129.99</v>
      </c>
      <c r="I370">
        <f t="shared" si="5"/>
        <v>34.990000000000009</v>
      </c>
    </row>
    <row r="371" spans="1:9" x14ac:dyDescent="0.3">
      <c r="A371" s="7" t="s">
        <v>109</v>
      </c>
      <c r="B371" s="1" t="s">
        <v>136</v>
      </c>
      <c r="C371" s="1" t="s">
        <v>148</v>
      </c>
      <c r="D371" s="1" t="s">
        <v>166</v>
      </c>
      <c r="E371" s="1">
        <v>3</v>
      </c>
      <c r="F371" s="1">
        <v>25</v>
      </c>
      <c r="G371" s="1">
        <v>12</v>
      </c>
      <c r="H371" s="1">
        <v>75</v>
      </c>
      <c r="I371">
        <f t="shared" si="5"/>
        <v>39</v>
      </c>
    </row>
    <row r="372" spans="1:9" x14ac:dyDescent="0.3">
      <c r="A372" s="7" t="s">
        <v>88</v>
      </c>
      <c r="B372" s="1" t="s">
        <v>137</v>
      </c>
      <c r="C372" s="1" t="s">
        <v>148</v>
      </c>
      <c r="D372" s="1" t="s">
        <v>151</v>
      </c>
      <c r="E372" s="1">
        <v>4</v>
      </c>
      <c r="F372" s="1">
        <v>22.99</v>
      </c>
      <c r="G372" s="1">
        <v>14</v>
      </c>
      <c r="H372" s="1">
        <v>91.96</v>
      </c>
      <c r="I372">
        <f t="shared" si="5"/>
        <v>35.959999999999994</v>
      </c>
    </row>
    <row r="373" spans="1:9" x14ac:dyDescent="0.3">
      <c r="A373" s="7" t="s">
        <v>52</v>
      </c>
      <c r="B373" s="1" t="s">
        <v>138</v>
      </c>
      <c r="C373" s="1" t="s">
        <v>148</v>
      </c>
      <c r="D373" s="1" t="s">
        <v>165</v>
      </c>
      <c r="E373" s="1">
        <v>2</v>
      </c>
      <c r="F373" s="1">
        <v>18</v>
      </c>
      <c r="G373" s="1">
        <v>9</v>
      </c>
      <c r="H373" s="1">
        <v>36</v>
      </c>
      <c r="I373">
        <f t="shared" si="5"/>
        <v>18</v>
      </c>
    </row>
    <row r="374" spans="1:9" x14ac:dyDescent="0.3">
      <c r="A374" s="7" t="s">
        <v>30</v>
      </c>
      <c r="B374" s="1" t="s">
        <v>139</v>
      </c>
      <c r="C374" s="1" t="s">
        <v>149</v>
      </c>
      <c r="D374" s="1" t="s">
        <v>153</v>
      </c>
      <c r="E374" s="1">
        <v>2</v>
      </c>
      <c r="F374" s="1">
        <v>12.5</v>
      </c>
      <c r="G374" s="1">
        <v>6.2</v>
      </c>
      <c r="H374" s="1">
        <v>25</v>
      </c>
      <c r="I374">
        <f t="shared" si="5"/>
        <v>12.6</v>
      </c>
    </row>
    <row r="375" spans="1:9" x14ac:dyDescent="0.3">
      <c r="A375" s="7" t="s">
        <v>11</v>
      </c>
      <c r="B375" s="1" t="s">
        <v>140</v>
      </c>
      <c r="C375" s="1" t="s">
        <v>150</v>
      </c>
      <c r="D375" s="1" t="s">
        <v>158</v>
      </c>
      <c r="E375" s="1">
        <v>2</v>
      </c>
      <c r="F375" s="1">
        <v>20</v>
      </c>
      <c r="G375" s="1">
        <v>12</v>
      </c>
      <c r="H375" s="1">
        <v>40</v>
      </c>
      <c r="I375">
        <f t="shared" si="5"/>
        <v>16</v>
      </c>
    </row>
    <row r="376" spans="1:9" x14ac:dyDescent="0.3">
      <c r="A376" s="7" t="s">
        <v>39</v>
      </c>
      <c r="B376" s="1" t="s">
        <v>141</v>
      </c>
      <c r="C376" s="1" t="s">
        <v>149</v>
      </c>
      <c r="D376" s="1" t="s">
        <v>154</v>
      </c>
      <c r="E376" s="1">
        <v>2</v>
      </c>
      <c r="F376" s="1">
        <v>11.99</v>
      </c>
      <c r="G376" s="1">
        <v>5</v>
      </c>
      <c r="H376" s="1">
        <v>23.98</v>
      </c>
      <c r="I376">
        <f t="shared" si="5"/>
        <v>13.98</v>
      </c>
    </row>
    <row r="377" spans="1:9" x14ac:dyDescent="0.3">
      <c r="A377" s="7" t="s">
        <v>53</v>
      </c>
      <c r="B377" s="1" t="s">
        <v>142</v>
      </c>
      <c r="C377" s="1" t="s">
        <v>148</v>
      </c>
      <c r="D377" s="1" t="s">
        <v>157</v>
      </c>
      <c r="E377" s="1">
        <v>2</v>
      </c>
      <c r="F377" s="1">
        <v>120</v>
      </c>
      <c r="G377" s="1">
        <v>80</v>
      </c>
      <c r="H377" s="1">
        <v>240</v>
      </c>
      <c r="I377">
        <f t="shared" si="5"/>
        <v>80</v>
      </c>
    </row>
    <row r="378" spans="1:9" x14ac:dyDescent="0.3">
      <c r="A378" s="7" t="s">
        <v>113</v>
      </c>
      <c r="B378" s="1" t="s">
        <v>143</v>
      </c>
      <c r="C378" s="1" t="s">
        <v>149</v>
      </c>
      <c r="D378" s="1" t="s">
        <v>153</v>
      </c>
      <c r="E378" s="1">
        <v>1</v>
      </c>
      <c r="F378" s="1">
        <v>12.5</v>
      </c>
      <c r="G378" s="1">
        <v>6.2</v>
      </c>
      <c r="H378" s="1">
        <v>12.5</v>
      </c>
      <c r="I378">
        <f t="shared" si="5"/>
        <v>6.3</v>
      </c>
    </row>
    <row r="379" spans="1:9" x14ac:dyDescent="0.3">
      <c r="A379" s="7" t="s">
        <v>87</v>
      </c>
      <c r="B379" s="1" t="s">
        <v>144</v>
      </c>
      <c r="C379" s="1" t="s">
        <v>148</v>
      </c>
      <c r="D379" s="1" t="s">
        <v>169</v>
      </c>
      <c r="E379" s="1">
        <v>5</v>
      </c>
      <c r="F379" s="1">
        <v>15.99</v>
      </c>
      <c r="G379" s="1">
        <v>9</v>
      </c>
      <c r="H379" s="1">
        <v>79.95</v>
      </c>
      <c r="I379">
        <f t="shared" si="5"/>
        <v>34.950000000000003</v>
      </c>
    </row>
    <row r="380" spans="1:9" x14ac:dyDescent="0.3">
      <c r="A380" s="7" t="s">
        <v>22</v>
      </c>
      <c r="B380" s="1" t="s">
        <v>145</v>
      </c>
      <c r="C380" s="1" t="s">
        <v>147</v>
      </c>
      <c r="D380" s="1" t="s">
        <v>163</v>
      </c>
      <c r="E380" s="1">
        <v>5</v>
      </c>
      <c r="F380" s="1">
        <v>14.99</v>
      </c>
      <c r="G380" s="1">
        <v>8</v>
      </c>
      <c r="H380" s="1">
        <v>74.95</v>
      </c>
      <c r="I380">
        <f t="shared" si="5"/>
        <v>34.950000000000003</v>
      </c>
    </row>
    <row r="381" spans="1:9" x14ac:dyDescent="0.3">
      <c r="A381" s="7" t="s">
        <v>59</v>
      </c>
      <c r="B381" s="1" t="s">
        <v>146</v>
      </c>
      <c r="C381" s="1" t="s">
        <v>150</v>
      </c>
      <c r="D381" s="1" t="s">
        <v>152</v>
      </c>
      <c r="E381" s="1">
        <v>3</v>
      </c>
      <c r="F381" s="1">
        <v>45</v>
      </c>
      <c r="G381" s="1">
        <v>28</v>
      </c>
      <c r="H381" s="1">
        <v>135</v>
      </c>
      <c r="I381">
        <f t="shared" si="5"/>
        <v>51</v>
      </c>
    </row>
    <row r="382" spans="1:9" x14ac:dyDescent="0.3">
      <c r="A382" s="7" t="s">
        <v>53</v>
      </c>
      <c r="B382" s="1" t="s">
        <v>127</v>
      </c>
      <c r="C382" s="1" t="s">
        <v>150</v>
      </c>
      <c r="D382" s="1" t="s">
        <v>169</v>
      </c>
      <c r="E382" s="1">
        <v>3</v>
      </c>
      <c r="F382" s="1">
        <v>15.99</v>
      </c>
      <c r="G382" s="1">
        <v>9</v>
      </c>
      <c r="H382" s="1">
        <v>47.97</v>
      </c>
      <c r="I382">
        <f t="shared" si="5"/>
        <v>20.97</v>
      </c>
    </row>
    <row r="383" spans="1:9" x14ac:dyDescent="0.3">
      <c r="A383" s="7" t="s">
        <v>75</v>
      </c>
      <c r="B383" s="1" t="s">
        <v>128</v>
      </c>
      <c r="C383" s="1" t="s">
        <v>147</v>
      </c>
      <c r="D383" s="1" t="s">
        <v>163</v>
      </c>
      <c r="E383" s="1">
        <v>3</v>
      </c>
      <c r="F383" s="1">
        <v>14.99</v>
      </c>
      <c r="G383" s="1">
        <v>8</v>
      </c>
      <c r="H383" s="1">
        <v>44.97</v>
      </c>
      <c r="I383">
        <f t="shared" si="5"/>
        <v>20.97</v>
      </c>
    </row>
    <row r="384" spans="1:9" x14ac:dyDescent="0.3">
      <c r="A384" s="7" t="s">
        <v>13</v>
      </c>
      <c r="B384" s="1" t="s">
        <v>129</v>
      </c>
      <c r="C384" s="1" t="s">
        <v>149</v>
      </c>
      <c r="D384" s="1" t="s">
        <v>154</v>
      </c>
      <c r="E384" s="1">
        <v>1</v>
      </c>
      <c r="F384" s="1">
        <v>11.99</v>
      </c>
      <c r="G384" s="1">
        <v>5</v>
      </c>
      <c r="H384" s="1">
        <v>11.99</v>
      </c>
      <c r="I384">
        <f t="shared" si="5"/>
        <v>6.99</v>
      </c>
    </row>
    <row r="385" spans="1:9" x14ac:dyDescent="0.3">
      <c r="A385" s="7" t="s">
        <v>37</v>
      </c>
      <c r="B385" s="1" t="s">
        <v>130</v>
      </c>
      <c r="C385" s="1" t="s">
        <v>148</v>
      </c>
      <c r="D385" s="1" t="s">
        <v>169</v>
      </c>
      <c r="E385" s="1">
        <v>1</v>
      </c>
      <c r="F385" s="1">
        <v>15.99</v>
      </c>
      <c r="G385" s="1">
        <v>9</v>
      </c>
      <c r="H385" s="1">
        <v>15.99</v>
      </c>
      <c r="I385">
        <f t="shared" si="5"/>
        <v>6.99</v>
      </c>
    </row>
    <row r="386" spans="1:9" x14ac:dyDescent="0.3">
      <c r="A386" s="7" t="s">
        <v>50</v>
      </c>
      <c r="B386" s="1" t="s">
        <v>131</v>
      </c>
      <c r="C386" s="1" t="s">
        <v>147</v>
      </c>
      <c r="D386" s="1" t="s">
        <v>162</v>
      </c>
      <c r="E386" s="1">
        <v>2</v>
      </c>
      <c r="F386" s="1">
        <v>34.99</v>
      </c>
      <c r="G386" s="1">
        <v>18</v>
      </c>
      <c r="H386" s="1">
        <v>69.98</v>
      </c>
      <c r="I386">
        <f t="shared" si="5"/>
        <v>33.980000000000004</v>
      </c>
    </row>
    <row r="387" spans="1:9" x14ac:dyDescent="0.3">
      <c r="A387" s="7" t="s">
        <v>31</v>
      </c>
      <c r="B387" s="1" t="s">
        <v>132</v>
      </c>
      <c r="C387" s="1" t="s">
        <v>147</v>
      </c>
      <c r="D387" s="1" t="s">
        <v>168</v>
      </c>
      <c r="E387" s="1">
        <v>1</v>
      </c>
      <c r="F387" s="1">
        <v>129.99</v>
      </c>
      <c r="G387" s="1">
        <v>95</v>
      </c>
      <c r="H387" s="1">
        <v>129.99</v>
      </c>
      <c r="I387">
        <f t="shared" ref="I387:I450" si="6">H387-(G387*E387)</f>
        <v>34.990000000000009</v>
      </c>
    </row>
    <row r="388" spans="1:9" x14ac:dyDescent="0.3">
      <c r="A388" s="7" t="s">
        <v>18</v>
      </c>
      <c r="B388" s="1" t="s">
        <v>133</v>
      </c>
      <c r="C388" s="1" t="s">
        <v>148</v>
      </c>
      <c r="D388" s="1" t="s">
        <v>151</v>
      </c>
      <c r="E388" s="1">
        <v>3</v>
      </c>
      <c r="F388" s="1">
        <v>22.99</v>
      </c>
      <c r="G388" s="1">
        <v>14</v>
      </c>
      <c r="H388" s="1">
        <v>68.97</v>
      </c>
      <c r="I388">
        <f t="shared" si="6"/>
        <v>26.97</v>
      </c>
    </row>
    <row r="389" spans="1:9" x14ac:dyDescent="0.3">
      <c r="A389" s="7" t="s">
        <v>112</v>
      </c>
      <c r="B389" s="1" t="s">
        <v>134</v>
      </c>
      <c r="C389" s="1" t="s">
        <v>149</v>
      </c>
      <c r="D389" s="1" t="s">
        <v>156</v>
      </c>
      <c r="E389" s="1">
        <v>5</v>
      </c>
      <c r="F389" s="1">
        <v>9.99</v>
      </c>
      <c r="G389" s="1">
        <v>4.5</v>
      </c>
      <c r="H389" s="1">
        <v>49.95</v>
      </c>
      <c r="I389">
        <f t="shared" si="6"/>
        <v>27.450000000000003</v>
      </c>
    </row>
    <row r="390" spans="1:9" x14ac:dyDescent="0.3">
      <c r="A390" s="7" t="s">
        <v>77</v>
      </c>
      <c r="B390" s="1" t="s">
        <v>135</v>
      </c>
      <c r="C390" s="1" t="s">
        <v>148</v>
      </c>
      <c r="D390" s="1" t="s">
        <v>155</v>
      </c>
      <c r="E390" s="1">
        <v>5</v>
      </c>
      <c r="F390" s="1">
        <v>59.99</v>
      </c>
      <c r="G390" s="1">
        <v>35</v>
      </c>
      <c r="H390" s="1">
        <v>299.95</v>
      </c>
      <c r="I390">
        <f t="shared" si="6"/>
        <v>124.94999999999999</v>
      </c>
    </row>
    <row r="391" spans="1:9" x14ac:dyDescent="0.3">
      <c r="A391" s="7" t="s">
        <v>33</v>
      </c>
      <c r="B391" s="1" t="s">
        <v>136</v>
      </c>
      <c r="C391" s="1" t="s">
        <v>147</v>
      </c>
      <c r="D391" s="1" t="s">
        <v>169</v>
      </c>
      <c r="E391" s="1">
        <v>4</v>
      </c>
      <c r="F391" s="1">
        <v>15.99</v>
      </c>
      <c r="G391" s="1">
        <v>9</v>
      </c>
      <c r="H391" s="1">
        <v>63.96</v>
      </c>
      <c r="I391">
        <f t="shared" si="6"/>
        <v>27.96</v>
      </c>
    </row>
    <row r="392" spans="1:9" x14ac:dyDescent="0.3">
      <c r="A392" s="7" t="s">
        <v>70</v>
      </c>
      <c r="B392" s="1" t="s">
        <v>137</v>
      </c>
      <c r="C392" s="1" t="s">
        <v>149</v>
      </c>
      <c r="D392" s="1" t="s">
        <v>151</v>
      </c>
      <c r="E392" s="1">
        <v>2</v>
      </c>
      <c r="F392" s="1">
        <v>22.99</v>
      </c>
      <c r="G392" s="1">
        <v>14</v>
      </c>
      <c r="H392" s="1">
        <v>45.98</v>
      </c>
      <c r="I392">
        <f t="shared" si="6"/>
        <v>17.979999999999997</v>
      </c>
    </row>
    <row r="393" spans="1:9" x14ac:dyDescent="0.3">
      <c r="A393" s="7" t="s">
        <v>52</v>
      </c>
      <c r="B393" s="1" t="s">
        <v>138</v>
      </c>
      <c r="C393" s="1" t="s">
        <v>147</v>
      </c>
      <c r="D393" s="1" t="s">
        <v>159</v>
      </c>
      <c r="E393" s="1">
        <v>2</v>
      </c>
      <c r="F393" s="1">
        <v>145</v>
      </c>
      <c r="G393" s="1">
        <v>100</v>
      </c>
      <c r="H393" s="1">
        <v>290</v>
      </c>
      <c r="I393">
        <f t="shared" si="6"/>
        <v>90</v>
      </c>
    </row>
    <row r="394" spans="1:9" x14ac:dyDescent="0.3">
      <c r="A394" s="7" t="s">
        <v>67</v>
      </c>
      <c r="B394" s="1" t="s">
        <v>139</v>
      </c>
      <c r="C394" s="1" t="s">
        <v>147</v>
      </c>
      <c r="D394" s="1" t="s">
        <v>160</v>
      </c>
      <c r="E394" s="1">
        <v>4</v>
      </c>
      <c r="F394" s="1">
        <v>3.5</v>
      </c>
      <c r="G394" s="1">
        <v>1.2</v>
      </c>
      <c r="H394" s="1">
        <v>14</v>
      </c>
      <c r="I394">
        <f t="shared" si="6"/>
        <v>9.1999999999999993</v>
      </c>
    </row>
    <row r="395" spans="1:9" x14ac:dyDescent="0.3">
      <c r="A395" s="7" t="s">
        <v>40</v>
      </c>
      <c r="B395" s="1" t="s">
        <v>140</v>
      </c>
      <c r="C395" s="1" t="s">
        <v>147</v>
      </c>
      <c r="D395" s="1" t="s">
        <v>151</v>
      </c>
      <c r="E395" s="1">
        <v>4</v>
      </c>
      <c r="F395" s="1">
        <v>22.99</v>
      </c>
      <c r="G395" s="1">
        <v>14</v>
      </c>
      <c r="H395" s="1">
        <v>91.96</v>
      </c>
      <c r="I395">
        <f t="shared" si="6"/>
        <v>35.959999999999994</v>
      </c>
    </row>
    <row r="396" spans="1:9" x14ac:dyDescent="0.3">
      <c r="A396" s="7" t="s">
        <v>89</v>
      </c>
      <c r="B396" s="1" t="s">
        <v>141</v>
      </c>
      <c r="C396" s="1" t="s">
        <v>150</v>
      </c>
      <c r="D396" s="1" t="s">
        <v>161</v>
      </c>
      <c r="E396" s="1">
        <v>2</v>
      </c>
      <c r="F396" s="1">
        <v>79.989999999999995</v>
      </c>
      <c r="G396" s="1">
        <v>50</v>
      </c>
      <c r="H396" s="1">
        <v>159.97999999999999</v>
      </c>
      <c r="I396">
        <f t="shared" si="6"/>
        <v>59.97999999999999</v>
      </c>
    </row>
    <row r="397" spans="1:9" x14ac:dyDescent="0.3">
      <c r="A397" s="7" t="s">
        <v>33</v>
      </c>
      <c r="B397" s="1" t="s">
        <v>142</v>
      </c>
      <c r="C397" s="1" t="s">
        <v>148</v>
      </c>
      <c r="D397" s="1" t="s">
        <v>161</v>
      </c>
      <c r="E397" s="1">
        <v>5</v>
      </c>
      <c r="F397" s="1">
        <v>79.989999999999995</v>
      </c>
      <c r="G397" s="1">
        <v>50</v>
      </c>
      <c r="H397" s="1">
        <v>399.95</v>
      </c>
      <c r="I397">
        <f t="shared" si="6"/>
        <v>149.94999999999999</v>
      </c>
    </row>
    <row r="398" spans="1:9" x14ac:dyDescent="0.3">
      <c r="A398" s="7" t="s">
        <v>115</v>
      </c>
      <c r="B398" s="1" t="s">
        <v>143</v>
      </c>
      <c r="C398" s="1" t="s">
        <v>148</v>
      </c>
      <c r="D398" s="1" t="s">
        <v>163</v>
      </c>
      <c r="E398" s="1">
        <v>1</v>
      </c>
      <c r="F398" s="1">
        <v>14.99</v>
      </c>
      <c r="G398" s="1">
        <v>8</v>
      </c>
      <c r="H398" s="1">
        <v>14.99</v>
      </c>
      <c r="I398">
        <f t="shared" si="6"/>
        <v>6.99</v>
      </c>
    </row>
    <row r="399" spans="1:9" x14ac:dyDescent="0.3">
      <c r="A399" s="7" t="s">
        <v>86</v>
      </c>
      <c r="B399" s="1" t="s">
        <v>144</v>
      </c>
      <c r="C399" s="1" t="s">
        <v>148</v>
      </c>
      <c r="D399" s="1" t="s">
        <v>158</v>
      </c>
      <c r="E399" s="1">
        <v>2</v>
      </c>
      <c r="F399" s="1">
        <v>20</v>
      </c>
      <c r="G399" s="1">
        <v>12</v>
      </c>
      <c r="H399" s="1">
        <v>40</v>
      </c>
      <c r="I399">
        <f t="shared" si="6"/>
        <v>16</v>
      </c>
    </row>
    <row r="400" spans="1:9" x14ac:dyDescent="0.3">
      <c r="A400" s="7" t="s">
        <v>74</v>
      </c>
      <c r="B400" s="1" t="s">
        <v>145</v>
      </c>
      <c r="C400" s="1" t="s">
        <v>148</v>
      </c>
      <c r="D400" s="1" t="s">
        <v>167</v>
      </c>
      <c r="E400" s="1">
        <v>1</v>
      </c>
      <c r="F400" s="1">
        <v>89.99</v>
      </c>
      <c r="G400" s="1">
        <v>60</v>
      </c>
      <c r="H400" s="1">
        <v>89.99</v>
      </c>
      <c r="I400">
        <f t="shared" si="6"/>
        <v>29.989999999999995</v>
      </c>
    </row>
    <row r="401" spans="1:9" x14ac:dyDescent="0.3">
      <c r="A401" s="7" t="s">
        <v>94</v>
      </c>
      <c r="B401" s="1" t="s">
        <v>146</v>
      </c>
      <c r="C401" s="1" t="s">
        <v>148</v>
      </c>
      <c r="D401" s="1" t="s">
        <v>170</v>
      </c>
      <c r="E401" s="1">
        <v>4</v>
      </c>
      <c r="F401" s="1">
        <v>2.99</v>
      </c>
      <c r="G401" s="1">
        <v>1</v>
      </c>
      <c r="H401" s="1">
        <v>11.96</v>
      </c>
      <c r="I401">
        <f t="shared" si="6"/>
        <v>7.9600000000000009</v>
      </c>
    </row>
    <row r="402" spans="1:9" x14ac:dyDescent="0.3">
      <c r="A402" s="7" t="s">
        <v>38</v>
      </c>
      <c r="B402" s="1" t="s">
        <v>127</v>
      </c>
      <c r="C402" s="1" t="s">
        <v>147</v>
      </c>
      <c r="D402" s="1" t="s">
        <v>168</v>
      </c>
      <c r="E402" s="1">
        <v>5</v>
      </c>
      <c r="F402" s="1">
        <v>129.99</v>
      </c>
      <c r="G402" s="1">
        <v>95</v>
      </c>
      <c r="H402" s="1">
        <v>649.95000000000005</v>
      </c>
      <c r="I402">
        <f t="shared" si="6"/>
        <v>174.95000000000005</v>
      </c>
    </row>
    <row r="403" spans="1:9" x14ac:dyDescent="0.3">
      <c r="A403" s="7" t="s">
        <v>60</v>
      </c>
      <c r="B403" s="1" t="s">
        <v>128</v>
      </c>
      <c r="C403" s="1" t="s">
        <v>149</v>
      </c>
      <c r="D403" s="1" t="s">
        <v>155</v>
      </c>
      <c r="E403" s="1">
        <v>3</v>
      </c>
      <c r="F403" s="1">
        <v>59.99</v>
      </c>
      <c r="G403" s="1">
        <v>35</v>
      </c>
      <c r="H403" s="1">
        <v>179.97</v>
      </c>
      <c r="I403">
        <f t="shared" si="6"/>
        <v>74.97</v>
      </c>
    </row>
    <row r="404" spans="1:9" x14ac:dyDescent="0.3">
      <c r="A404" s="7" t="s">
        <v>96</v>
      </c>
      <c r="B404" s="1" t="s">
        <v>129</v>
      </c>
      <c r="C404" s="1" t="s">
        <v>148</v>
      </c>
      <c r="D404" s="1" t="s">
        <v>160</v>
      </c>
      <c r="E404" s="1">
        <v>4</v>
      </c>
      <c r="F404" s="1">
        <v>3.5</v>
      </c>
      <c r="G404" s="1">
        <v>1.2</v>
      </c>
      <c r="H404" s="1">
        <v>14</v>
      </c>
      <c r="I404">
        <f t="shared" si="6"/>
        <v>9.1999999999999993</v>
      </c>
    </row>
    <row r="405" spans="1:9" x14ac:dyDescent="0.3">
      <c r="A405" s="7" t="s">
        <v>77</v>
      </c>
      <c r="B405" s="1" t="s">
        <v>130</v>
      </c>
      <c r="C405" s="1" t="s">
        <v>149</v>
      </c>
      <c r="D405" s="1" t="s">
        <v>170</v>
      </c>
      <c r="E405" s="1">
        <v>1</v>
      </c>
      <c r="F405" s="1">
        <v>2.99</v>
      </c>
      <c r="G405" s="1">
        <v>1</v>
      </c>
      <c r="H405" s="1">
        <v>2.99</v>
      </c>
      <c r="I405">
        <f t="shared" si="6"/>
        <v>1.9900000000000002</v>
      </c>
    </row>
    <row r="406" spans="1:9" x14ac:dyDescent="0.3">
      <c r="A406" s="7" t="s">
        <v>55</v>
      </c>
      <c r="B406" s="1" t="s">
        <v>131</v>
      </c>
      <c r="C406" s="1" t="s">
        <v>147</v>
      </c>
      <c r="D406" s="1" t="s">
        <v>152</v>
      </c>
      <c r="E406" s="1">
        <v>2</v>
      </c>
      <c r="F406" s="1">
        <v>45</v>
      </c>
      <c r="G406" s="1">
        <v>28</v>
      </c>
      <c r="H406" s="1">
        <v>90</v>
      </c>
      <c r="I406">
        <f t="shared" si="6"/>
        <v>34</v>
      </c>
    </row>
    <row r="407" spans="1:9" x14ac:dyDescent="0.3">
      <c r="A407" s="7" t="s">
        <v>122</v>
      </c>
      <c r="B407" s="1" t="s">
        <v>132</v>
      </c>
      <c r="C407" s="1" t="s">
        <v>147</v>
      </c>
      <c r="D407" s="1" t="s">
        <v>154</v>
      </c>
      <c r="E407" s="1">
        <v>2</v>
      </c>
      <c r="F407" s="1">
        <v>11.99</v>
      </c>
      <c r="G407" s="1">
        <v>5</v>
      </c>
      <c r="H407" s="1">
        <v>23.98</v>
      </c>
      <c r="I407">
        <f t="shared" si="6"/>
        <v>13.98</v>
      </c>
    </row>
    <row r="408" spans="1:9" x14ac:dyDescent="0.3">
      <c r="A408" s="7" t="s">
        <v>103</v>
      </c>
      <c r="B408" s="1" t="s">
        <v>133</v>
      </c>
      <c r="C408" s="1" t="s">
        <v>148</v>
      </c>
      <c r="D408" s="1" t="s">
        <v>156</v>
      </c>
      <c r="E408" s="1">
        <v>1</v>
      </c>
      <c r="F408" s="1">
        <v>9.99</v>
      </c>
      <c r="G408" s="1">
        <v>4.5</v>
      </c>
      <c r="H408" s="1">
        <v>9.99</v>
      </c>
      <c r="I408">
        <f t="shared" si="6"/>
        <v>5.49</v>
      </c>
    </row>
    <row r="409" spans="1:9" x14ac:dyDescent="0.3">
      <c r="A409" s="7" t="s">
        <v>39</v>
      </c>
      <c r="B409" s="1" t="s">
        <v>134</v>
      </c>
      <c r="C409" s="1" t="s">
        <v>147</v>
      </c>
      <c r="D409" s="1" t="s">
        <v>163</v>
      </c>
      <c r="E409" s="1">
        <v>5</v>
      </c>
      <c r="F409" s="1">
        <v>14.99</v>
      </c>
      <c r="G409" s="1">
        <v>8</v>
      </c>
      <c r="H409" s="1">
        <v>74.95</v>
      </c>
      <c r="I409">
        <f t="shared" si="6"/>
        <v>34.950000000000003</v>
      </c>
    </row>
    <row r="410" spans="1:9" x14ac:dyDescent="0.3">
      <c r="A410" s="7" t="s">
        <v>82</v>
      </c>
      <c r="B410" s="1" t="s">
        <v>135</v>
      </c>
      <c r="C410" s="1" t="s">
        <v>147</v>
      </c>
      <c r="D410" s="1" t="s">
        <v>168</v>
      </c>
      <c r="E410" s="1">
        <v>1</v>
      </c>
      <c r="F410" s="1">
        <v>129.99</v>
      </c>
      <c r="G410" s="1">
        <v>95</v>
      </c>
      <c r="H410" s="1">
        <v>129.99</v>
      </c>
      <c r="I410">
        <f t="shared" si="6"/>
        <v>34.990000000000009</v>
      </c>
    </row>
    <row r="411" spans="1:9" x14ac:dyDescent="0.3">
      <c r="A411" s="7" t="s">
        <v>11</v>
      </c>
      <c r="B411" s="1" t="s">
        <v>136</v>
      </c>
      <c r="C411" s="1" t="s">
        <v>149</v>
      </c>
      <c r="D411" s="1" t="s">
        <v>152</v>
      </c>
      <c r="E411" s="1">
        <v>1</v>
      </c>
      <c r="F411" s="1">
        <v>45</v>
      </c>
      <c r="G411" s="1">
        <v>28</v>
      </c>
      <c r="H411" s="1">
        <v>45</v>
      </c>
      <c r="I411">
        <f t="shared" si="6"/>
        <v>17</v>
      </c>
    </row>
    <row r="412" spans="1:9" x14ac:dyDescent="0.3">
      <c r="A412" s="7" t="s">
        <v>84</v>
      </c>
      <c r="B412" s="1" t="s">
        <v>137</v>
      </c>
      <c r="C412" s="1" t="s">
        <v>148</v>
      </c>
      <c r="D412" s="1" t="s">
        <v>170</v>
      </c>
      <c r="E412" s="1">
        <v>2</v>
      </c>
      <c r="F412" s="1">
        <v>2.99</v>
      </c>
      <c r="G412" s="1">
        <v>1</v>
      </c>
      <c r="H412" s="1">
        <v>5.98</v>
      </c>
      <c r="I412">
        <f t="shared" si="6"/>
        <v>3.9800000000000004</v>
      </c>
    </row>
    <row r="413" spans="1:9" x14ac:dyDescent="0.3">
      <c r="A413" s="7" t="s">
        <v>58</v>
      </c>
      <c r="B413" s="1" t="s">
        <v>138</v>
      </c>
      <c r="C413" s="1" t="s">
        <v>150</v>
      </c>
      <c r="D413" s="1" t="s">
        <v>167</v>
      </c>
      <c r="E413" s="1">
        <v>5</v>
      </c>
      <c r="F413" s="1">
        <v>89.99</v>
      </c>
      <c r="G413" s="1">
        <v>60</v>
      </c>
      <c r="H413" s="1">
        <v>449.95</v>
      </c>
      <c r="I413">
        <f t="shared" si="6"/>
        <v>149.94999999999999</v>
      </c>
    </row>
    <row r="414" spans="1:9" x14ac:dyDescent="0.3">
      <c r="A414" s="7" t="s">
        <v>123</v>
      </c>
      <c r="B414" s="1" t="s">
        <v>139</v>
      </c>
      <c r="C414" s="1" t="s">
        <v>147</v>
      </c>
      <c r="D414" s="1" t="s">
        <v>161</v>
      </c>
      <c r="E414" s="1">
        <v>1</v>
      </c>
      <c r="F414" s="1">
        <v>79.989999999999995</v>
      </c>
      <c r="G414" s="1">
        <v>50</v>
      </c>
      <c r="H414" s="1">
        <v>79.989999999999995</v>
      </c>
      <c r="I414">
        <f t="shared" si="6"/>
        <v>29.989999999999995</v>
      </c>
    </row>
    <row r="415" spans="1:9" x14ac:dyDescent="0.3">
      <c r="A415" s="7" t="s">
        <v>55</v>
      </c>
      <c r="B415" s="1" t="s">
        <v>140</v>
      </c>
      <c r="C415" s="1" t="s">
        <v>148</v>
      </c>
      <c r="D415" s="1" t="s">
        <v>166</v>
      </c>
      <c r="E415" s="1">
        <v>1</v>
      </c>
      <c r="F415" s="1">
        <v>25</v>
      </c>
      <c r="G415" s="1">
        <v>12</v>
      </c>
      <c r="H415" s="1">
        <v>25</v>
      </c>
      <c r="I415">
        <f t="shared" si="6"/>
        <v>13</v>
      </c>
    </row>
    <row r="416" spans="1:9" x14ac:dyDescent="0.3">
      <c r="A416" s="7" t="s">
        <v>52</v>
      </c>
      <c r="B416" s="1" t="s">
        <v>141</v>
      </c>
      <c r="C416" s="1" t="s">
        <v>148</v>
      </c>
      <c r="D416" s="1" t="s">
        <v>162</v>
      </c>
      <c r="E416" s="1">
        <v>1</v>
      </c>
      <c r="F416" s="1">
        <v>34.99</v>
      </c>
      <c r="G416" s="1">
        <v>18</v>
      </c>
      <c r="H416" s="1">
        <v>34.99</v>
      </c>
      <c r="I416">
        <f t="shared" si="6"/>
        <v>16.990000000000002</v>
      </c>
    </row>
    <row r="417" spans="1:9" x14ac:dyDescent="0.3">
      <c r="A417" s="7" t="s">
        <v>76</v>
      </c>
      <c r="B417" s="1" t="s">
        <v>142</v>
      </c>
      <c r="C417" s="1" t="s">
        <v>148</v>
      </c>
      <c r="D417" s="1" t="s">
        <v>156</v>
      </c>
      <c r="E417" s="1">
        <v>3</v>
      </c>
      <c r="F417" s="1">
        <v>9.99</v>
      </c>
      <c r="G417" s="1">
        <v>4.5</v>
      </c>
      <c r="H417" s="1">
        <v>29.97</v>
      </c>
      <c r="I417">
        <f t="shared" si="6"/>
        <v>16.47</v>
      </c>
    </row>
    <row r="418" spans="1:9" x14ac:dyDescent="0.3">
      <c r="A418" s="7" t="s">
        <v>39</v>
      </c>
      <c r="B418" s="1" t="s">
        <v>143</v>
      </c>
      <c r="C418" s="1" t="s">
        <v>150</v>
      </c>
      <c r="D418" s="1" t="s">
        <v>170</v>
      </c>
      <c r="E418" s="1">
        <v>2</v>
      </c>
      <c r="F418" s="1">
        <v>2.99</v>
      </c>
      <c r="G418" s="1">
        <v>1</v>
      </c>
      <c r="H418" s="1">
        <v>5.98</v>
      </c>
      <c r="I418">
        <f t="shared" si="6"/>
        <v>3.9800000000000004</v>
      </c>
    </row>
    <row r="419" spans="1:9" x14ac:dyDescent="0.3">
      <c r="A419" s="7" t="s">
        <v>81</v>
      </c>
      <c r="B419" s="1" t="s">
        <v>144</v>
      </c>
      <c r="C419" s="1" t="s">
        <v>150</v>
      </c>
      <c r="D419" s="1" t="s">
        <v>155</v>
      </c>
      <c r="E419" s="1">
        <v>2</v>
      </c>
      <c r="F419" s="1">
        <v>59.99</v>
      </c>
      <c r="G419" s="1">
        <v>35</v>
      </c>
      <c r="H419" s="1">
        <v>119.98</v>
      </c>
      <c r="I419">
        <f t="shared" si="6"/>
        <v>49.980000000000004</v>
      </c>
    </row>
    <row r="420" spans="1:9" x14ac:dyDescent="0.3">
      <c r="A420" s="7" t="s">
        <v>49</v>
      </c>
      <c r="B420" s="1" t="s">
        <v>145</v>
      </c>
      <c r="C420" s="1" t="s">
        <v>147</v>
      </c>
      <c r="D420" s="1" t="s">
        <v>170</v>
      </c>
      <c r="E420" s="1">
        <v>3</v>
      </c>
      <c r="F420" s="1">
        <v>2.99</v>
      </c>
      <c r="G420" s="1">
        <v>1</v>
      </c>
      <c r="H420" s="1">
        <v>8.9700000000000006</v>
      </c>
      <c r="I420">
        <f t="shared" si="6"/>
        <v>5.9700000000000006</v>
      </c>
    </row>
    <row r="421" spans="1:9" x14ac:dyDescent="0.3">
      <c r="A421" s="7" t="s">
        <v>81</v>
      </c>
      <c r="B421" s="1" t="s">
        <v>146</v>
      </c>
      <c r="C421" s="1" t="s">
        <v>148</v>
      </c>
      <c r="D421" s="1" t="s">
        <v>166</v>
      </c>
      <c r="E421" s="1">
        <v>3</v>
      </c>
      <c r="F421" s="1">
        <v>25</v>
      </c>
      <c r="G421" s="1">
        <v>12</v>
      </c>
      <c r="H421" s="1">
        <v>75</v>
      </c>
      <c r="I421">
        <f t="shared" si="6"/>
        <v>39</v>
      </c>
    </row>
    <row r="422" spans="1:9" x14ac:dyDescent="0.3">
      <c r="A422" s="7" t="s">
        <v>12</v>
      </c>
      <c r="B422" s="1" t="s">
        <v>127</v>
      </c>
      <c r="C422" s="1" t="s">
        <v>148</v>
      </c>
      <c r="D422" s="1" t="s">
        <v>167</v>
      </c>
      <c r="E422" s="1">
        <v>4</v>
      </c>
      <c r="F422" s="1">
        <v>89.99</v>
      </c>
      <c r="G422" s="1">
        <v>60</v>
      </c>
      <c r="H422" s="1">
        <v>359.96</v>
      </c>
      <c r="I422">
        <f t="shared" si="6"/>
        <v>119.95999999999998</v>
      </c>
    </row>
    <row r="423" spans="1:9" x14ac:dyDescent="0.3">
      <c r="A423" s="7" t="s">
        <v>95</v>
      </c>
      <c r="B423" s="1" t="s">
        <v>128</v>
      </c>
      <c r="C423" s="1" t="s">
        <v>147</v>
      </c>
      <c r="D423" s="1" t="s">
        <v>153</v>
      </c>
      <c r="E423" s="1">
        <v>3</v>
      </c>
      <c r="F423" s="1">
        <v>12.5</v>
      </c>
      <c r="G423" s="1">
        <v>6.2</v>
      </c>
      <c r="H423" s="1">
        <v>37.5</v>
      </c>
      <c r="I423">
        <f t="shared" si="6"/>
        <v>18.899999999999999</v>
      </c>
    </row>
    <row r="424" spans="1:9" x14ac:dyDescent="0.3">
      <c r="A424" s="7" t="s">
        <v>41</v>
      </c>
      <c r="B424" s="1" t="s">
        <v>129</v>
      </c>
      <c r="C424" s="1" t="s">
        <v>149</v>
      </c>
      <c r="D424" s="1" t="s">
        <v>170</v>
      </c>
      <c r="E424" s="1">
        <v>5</v>
      </c>
      <c r="F424" s="1">
        <v>2.99</v>
      </c>
      <c r="G424" s="1">
        <v>1</v>
      </c>
      <c r="H424" s="1">
        <v>14.95</v>
      </c>
      <c r="I424">
        <f t="shared" si="6"/>
        <v>9.9499999999999993</v>
      </c>
    </row>
    <row r="425" spans="1:9" x14ac:dyDescent="0.3">
      <c r="A425" s="7" t="s">
        <v>33</v>
      </c>
      <c r="B425" s="1" t="s">
        <v>130</v>
      </c>
      <c r="C425" s="1" t="s">
        <v>149</v>
      </c>
      <c r="D425" s="1" t="s">
        <v>157</v>
      </c>
      <c r="E425" s="1">
        <v>4</v>
      </c>
      <c r="F425" s="1">
        <v>120</v>
      </c>
      <c r="G425" s="1">
        <v>80</v>
      </c>
      <c r="H425" s="1">
        <v>480</v>
      </c>
      <c r="I425">
        <f t="shared" si="6"/>
        <v>160</v>
      </c>
    </row>
    <row r="426" spans="1:9" x14ac:dyDescent="0.3">
      <c r="A426" s="7" t="s">
        <v>54</v>
      </c>
      <c r="B426" s="1" t="s">
        <v>131</v>
      </c>
      <c r="C426" s="1" t="s">
        <v>150</v>
      </c>
      <c r="D426" s="1" t="s">
        <v>167</v>
      </c>
      <c r="E426" s="1">
        <v>5</v>
      </c>
      <c r="F426" s="1">
        <v>89.99</v>
      </c>
      <c r="G426" s="1">
        <v>60</v>
      </c>
      <c r="H426" s="1">
        <v>449.95</v>
      </c>
      <c r="I426">
        <f t="shared" si="6"/>
        <v>149.94999999999999</v>
      </c>
    </row>
    <row r="427" spans="1:9" x14ac:dyDescent="0.3">
      <c r="A427" s="7" t="s">
        <v>45</v>
      </c>
      <c r="B427" s="1" t="s">
        <v>132</v>
      </c>
      <c r="C427" s="1" t="s">
        <v>147</v>
      </c>
      <c r="D427" s="1" t="s">
        <v>170</v>
      </c>
      <c r="E427" s="1">
        <v>1</v>
      </c>
      <c r="F427" s="1">
        <v>2.99</v>
      </c>
      <c r="G427" s="1">
        <v>1</v>
      </c>
      <c r="H427" s="1">
        <v>2.99</v>
      </c>
      <c r="I427">
        <f t="shared" si="6"/>
        <v>1.9900000000000002</v>
      </c>
    </row>
    <row r="428" spans="1:9" x14ac:dyDescent="0.3">
      <c r="A428" s="7" t="s">
        <v>121</v>
      </c>
      <c r="B428" s="1" t="s">
        <v>133</v>
      </c>
      <c r="C428" s="1" t="s">
        <v>148</v>
      </c>
      <c r="D428" s="1" t="s">
        <v>161</v>
      </c>
      <c r="E428" s="1">
        <v>1</v>
      </c>
      <c r="F428" s="1">
        <v>79.989999999999995</v>
      </c>
      <c r="G428" s="1">
        <v>50</v>
      </c>
      <c r="H428" s="1">
        <v>79.989999999999995</v>
      </c>
      <c r="I428">
        <f t="shared" si="6"/>
        <v>29.989999999999995</v>
      </c>
    </row>
    <row r="429" spans="1:9" x14ac:dyDescent="0.3">
      <c r="A429" s="7" t="s">
        <v>116</v>
      </c>
      <c r="B429" s="1" t="s">
        <v>134</v>
      </c>
      <c r="C429" s="1" t="s">
        <v>149</v>
      </c>
      <c r="D429" s="1" t="s">
        <v>168</v>
      </c>
      <c r="E429" s="1">
        <v>1</v>
      </c>
      <c r="F429" s="1">
        <v>129.99</v>
      </c>
      <c r="G429" s="1">
        <v>95</v>
      </c>
      <c r="H429" s="1">
        <v>129.99</v>
      </c>
      <c r="I429">
        <f t="shared" si="6"/>
        <v>34.990000000000009</v>
      </c>
    </row>
    <row r="430" spans="1:9" x14ac:dyDescent="0.3">
      <c r="A430" s="7" t="s">
        <v>10</v>
      </c>
      <c r="B430" s="1" t="s">
        <v>135</v>
      </c>
      <c r="C430" s="1" t="s">
        <v>149</v>
      </c>
      <c r="D430" s="1" t="s">
        <v>157</v>
      </c>
      <c r="E430" s="1">
        <v>2</v>
      </c>
      <c r="F430" s="1">
        <v>120</v>
      </c>
      <c r="G430" s="1">
        <v>80</v>
      </c>
      <c r="H430" s="1">
        <v>240</v>
      </c>
      <c r="I430">
        <f t="shared" si="6"/>
        <v>80</v>
      </c>
    </row>
    <row r="431" spans="1:9" x14ac:dyDescent="0.3">
      <c r="A431" s="7" t="s">
        <v>16</v>
      </c>
      <c r="B431" s="1" t="s">
        <v>136</v>
      </c>
      <c r="C431" s="1" t="s">
        <v>150</v>
      </c>
      <c r="D431" s="1" t="s">
        <v>157</v>
      </c>
      <c r="E431" s="1">
        <v>3</v>
      </c>
      <c r="F431" s="1">
        <v>120</v>
      </c>
      <c r="G431" s="1">
        <v>80</v>
      </c>
      <c r="H431" s="1">
        <v>360</v>
      </c>
      <c r="I431">
        <f t="shared" si="6"/>
        <v>120</v>
      </c>
    </row>
    <row r="432" spans="1:9" x14ac:dyDescent="0.3">
      <c r="A432" s="7" t="s">
        <v>82</v>
      </c>
      <c r="B432" s="1" t="s">
        <v>137</v>
      </c>
      <c r="C432" s="1" t="s">
        <v>147</v>
      </c>
      <c r="D432" s="1" t="s">
        <v>153</v>
      </c>
      <c r="E432" s="1">
        <v>4</v>
      </c>
      <c r="F432" s="1">
        <v>12.5</v>
      </c>
      <c r="G432" s="1">
        <v>6.2</v>
      </c>
      <c r="H432" s="1">
        <v>50</v>
      </c>
      <c r="I432">
        <f t="shared" si="6"/>
        <v>25.2</v>
      </c>
    </row>
    <row r="433" spans="1:9" x14ac:dyDescent="0.3">
      <c r="A433" s="7" t="s">
        <v>120</v>
      </c>
      <c r="B433" s="1" t="s">
        <v>138</v>
      </c>
      <c r="C433" s="1" t="s">
        <v>149</v>
      </c>
      <c r="D433" s="1" t="s">
        <v>154</v>
      </c>
      <c r="E433" s="1">
        <v>3</v>
      </c>
      <c r="F433" s="1">
        <v>11.99</v>
      </c>
      <c r="G433" s="1">
        <v>5</v>
      </c>
      <c r="H433" s="1">
        <v>35.97</v>
      </c>
      <c r="I433">
        <f t="shared" si="6"/>
        <v>20.97</v>
      </c>
    </row>
    <row r="434" spans="1:9" x14ac:dyDescent="0.3">
      <c r="A434" s="7" t="s">
        <v>43</v>
      </c>
      <c r="B434" s="1" t="s">
        <v>139</v>
      </c>
      <c r="C434" s="1" t="s">
        <v>149</v>
      </c>
      <c r="D434" s="1" t="s">
        <v>167</v>
      </c>
      <c r="E434" s="1">
        <v>2</v>
      </c>
      <c r="F434" s="1">
        <v>89.99</v>
      </c>
      <c r="G434" s="1">
        <v>60</v>
      </c>
      <c r="H434" s="1">
        <v>179.98</v>
      </c>
      <c r="I434">
        <f t="shared" si="6"/>
        <v>59.97999999999999</v>
      </c>
    </row>
    <row r="435" spans="1:9" x14ac:dyDescent="0.3">
      <c r="A435" s="7" t="s">
        <v>29</v>
      </c>
      <c r="B435" s="1" t="s">
        <v>140</v>
      </c>
      <c r="C435" s="1" t="s">
        <v>149</v>
      </c>
      <c r="D435" s="1" t="s">
        <v>164</v>
      </c>
      <c r="E435" s="1">
        <v>2</v>
      </c>
      <c r="F435" s="1">
        <v>39.99</v>
      </c>
      <c r="G435" s="1">
        <v>22</v>
      </c>
      <c r="H435" s="1">
        <v>79.98</v>
      </c>
      <c r="I435">
        <f t="shared" si="6"/>
        <v>35.980000000000004</v>
      </c>
    </row>
    <row r="436" spans="1:9" x14ac:dyDescent="0.3">
      <c r="A436" s="7" t="s">
        <v>30</v>
      </c>
      <c r="B436" s="1" t="s">
        <v>141</v>
      </c>
      <c r="C436" s="1" t="s">
        <v>149</v>
      </c>
      <c r="D436" s="1" t="s">
        <v>162</v>
      </c>
      <c r="E436" s="1">
        <v>4</v>
      </c>
      <c r="F436" s="1">
        <v>34.99</v>
      </c>
      <c r="G436" s="1">
        <v>18</v>
      </c>
      <c r="H436" s="1">
        <v>139.96</v>
      </c>
      <c r="I436">
        <f t="shared" si="6"/>
        <v>67.960000000000008</v>
      </c>
    </row>
    <row r="437" spans="1:9" x14ac:dyDescent="0.3">
      <c r="A437" s="7" t="s">
        <v>59</v>
      </c>
      <c r="B437" s="1" t="s">
        <v>142</v>
      </c>
      <c r="C437" s="1" t="s">
        <v>149</v>
      </c>
      <c r="D437" s="1" t="s">
        <v>157</v>
      </c>
      <c r="E437" s="1">
        <v>1</v>
      </c>
      <c r="F437" s="1">
        <v>120</v>
      </c>
      <c r="G437" s="1">
        <v>80</v>
      </c>
      <c r="H437" s="1">
        <v>120</v>
      </c>
      <c r="I437">
        <f t="shared" si="6"/>
        <v>40</v>
      </c>
    </row>
    <row r="438" spans="1:9" x14ac:dyDescent="0.3">
      <c r="A438" s="7" t="s">
        <v>49</v>
      </c>
      <c r="B438" s="1" t="s">
        <v>143</v>
      </c>
      <c r="C438" s="1" t="s">
        <v>149</v>
      </c>
      <c r="D438" s="1" t="s">
        <v>162</v>
      </c>
      <c r="E438" s="1">
        <v>3</v>
      </c>
      <c r="F438" s="1">
        <v>34.99</v>
      </c>
      <c r="G438" s="1">
        <v>18</v>
      </c>
      <c r="H438" s="1">
        <v>104.97</v>
      </c>
      <c r="I438">
        <f t="shared" si="6"/>
        <v>50.97</v>
      </c>
    </row>
    <row r="439" spans="1:9" x14ac:dyDescent="0.3">
      <c r="A439" s="7" t="s">
        <v>124</v>
      </c>
      <c r="B439" s="1" t="s">
        <v>144</v>
      </c>
      <c r="C439" s="1" t="s">
        <v>148</v>
      </c>
      <c r="D439" s="1" t="s">
        <v>154</v>
      </c>
      <c r="E439" s="1">
        <v>5</v>
      </c>
      <c r="F439" s="1">
        <v>11.99</v>
      </c>
      <c r="G439" s="1">
        <v>5</v>
      </c>
      <c r="H439" s="1">
        <v>59.95</v>
      </c>
      <c r="I439">
        <f t="shared" si="6"/>
        <v>34.950000000000003</v>
      </c>
    </row>
    <row r="440" spans="1:9" x14ac:dyDescent="0.3">
      <c r="A440" s="7" t="s">
        <v>86</v>
      </c>
      <c r="B440" s="1" t="s">
        <v>145</v>
      </c>
      <c r="C440" s="1" t="s">
        <v>148</v>
      </c>
      <c r="D440" s="1" t="s">
        <v>160</v>
      </c>
      <c r="E440" s="1">
        <v>1</v>
      </c>
      <c r="F440" s="1">
        <v>3.5</v>
      </c>
      <c r="G440" s="1">
        <v>1.2</v>
      </c>
      <c r="H440" s="1">
        <v>3.5</v>
      </c>
      <c r="I440">
        <f t="shared" si="6"/>
        <v>2.2999999999999998</v>
      </c>
    </row>
    <row r="441" spans="1:9" x14ac:dyDescent="0.3">
      <c r="A441" s="7" t="s">
        <v>35</v>
      </c>
      <c r="B441" s="1" t="s">
        <v>146</v>
      </c>
      <c r="C441" s="1" t="s">
        <v>150</v>
      </c>
      <c r="D441" s="1" t="s">
        <v>166</v>
      </c>
      <c r="E441" s="1">
        <v>1</v>
      </c>
      <c r="F441" s="1">
        <v>25</v>
      </c>
      <c r="G441" s="1">
        <v>12</v>
      </c>
      <c r="H441" s="1">
        <v>25</v>
      </c>
      <c r="I441">
        <f t="shared" si="6"/>
        <v>13</v>
      </c>
    </row>
    <row r="442" spans="1:9" x14ac:dyDescent="0.3">
      <c r="A442" s="7" t="s">
        <v>77</v>
      </c>
      <c r="B442" s="1" t="s">
        <v>127</v>
      </c>
      <c r="C442" s="1" t="s">
        <v>150</v>
      </c>
      <c r="D442" s="1" t="s">
        <v>161</v>
      </c>
      <c r="E442" s="1">
        <v>4</v>
      </c>
      <c r="F442" s="1">
        <v>79.989999999999995</v>
      </c>
      <c r="G442" s="1">
        <v>50</v>
      </c>
      <c r="H442" s="1">
        <v>319.95999999999998</v>
      </c>
      <c r="I442">
        <f t="shared" si="6"/>
        <v>119.95999999999998</v>
      </c>
    </row>
    <row r="443" spans="1:9" x14ac:dyDescent="0.3">
      <c r="A443" s="7" t="s">
        <v>98</v>
      </c>
      <c r="B443" s="1" t="s">
        <v>128</v>
      </c>
      <c r="C443" s="1" t="s">
        <v>150</v>
      </c>
      <c r="D443" s="1" t="s">
        <v>170</v>
      </c>
      <c r="E443" s="1">
        <v>4</v>
      </c>
      <c r="F443" s="1">
        <v>2.99</v>
      </c>
      <c r="G443" s="1">
        <v>1</v>
      </c>
      <c r="H443" s="1">
        <v>11.96</v>
      </c>
      <c r="I443">
        <f t="shared" si="6"/>
        <v>7.9600000000000009</v>
      </c>
    </row>
    <row r="444" spans="1:9" x14ac:dyDescent="0.3">
      <c r="A444" s="7" t="s">
        <v>101</v>
      </c>
      <c r="B444" s="1" t="s">
        <v>129</v>
      </c>
      <c r="C444" s="1" t="s">
        <v>150</v>
      </c>
      <c r="D444" s="1" t="s">
        <v>168</v>
      </c>
      <c r="E444" s="1">
        <v>3</v>
      </c>
      <c r="F444" s="1">
        <v>129.99</v>
      </c>
      <c r="G444" s="1">
        <v>95</v>
      </c>
      <c r="H444" s="1">
        <v>389.97</v>
      </c>
      <c r="I444">
        <f t="shared" si="6"/>
        <v>104.97000000000003</v>
      </c>
    </row>
    <row r="445" spans="1:9" x14ac:dyDescent="0.3">
      <c r="A445" s="7" t="s">
        <v>23</v>
      </c>
      <c r="B445" s="1" t="s">
        <v>130</v>
      </c>
      <c r="C445" s="1" t="s">
        <v>149</v>
      </c>
      <c r="D445" s="1" t="s">
        <v>163</v>
      </c>
      <c r="E445" s="1">
        <v>1</v>
      </c>
      <c r="F445" s="1">
        <v>14.99</v>
      </c>
      <c r="G445" s="1">
        <v>8</v>
      </c>
      <c r="H445" s="1">
        <v>14.99</v>
      </c>
      <c r="I445">
        <f t="shared" si="6"/>
        <v>6.99</v>
      </c>
    </row>
    <row r="446" spans="1:9" x14ac:dyDescent="0.3">
      <c r="A446" s="7" t="s">
        <v>24</v>
      </c>
      <c r="B446" s="1" t="s">
        <v>131</v>
      </c>
      <c r="C446" s="1" t="s">
        <v>148</v>
      </c>
      <c r="D446" s="1" t="s">
        <v>168</v>
      </c>
      <c r="E446" s="1">
        <v>2</v>
      </c>
      <c r="F446" s="1">
        <v>129.99</v>
      </c>
      <c r="G446" s="1">
        <v>95</v>
      </c>
      <c r="H446" s="1">
        <v>259.98</v>
      </c>
      <c r="I446">
        <f t="shared" si="6"/>
        <v>69.980000000000018</v>
      </c>
    </row>
    <row r="447" spans="1:9" x14ac:dyDescent="0.3">
      <c r="A447" s="7" t="s">
        <v>61</v>
      </c>
      <c r="B447" s="1" t="s">
        <v>132</v>
      </c>
      <c r="C447" s="1" t="s">
        <v>147</v>
      </c>
      <c r="D447" s="1" t="s">
        <v>154</v>
      </c>
      <c r="E447" s="1">
        <v>1</v>
      </c>
      <c r="F447" s="1">
        <v>11.99</v>
      </c>
      <c r="G447" s="1">
        <v>5</v>
      </c>
      <c r="H447" s="1">
        <v>11.99</v>
      </c>
      <c r="I447">
        <f t="shared" si="6"/>
        <v>6.99</v>
      </c>
    </row>
    <row r="448" spans="1:9" x14ac:dyDescent="0.3">
      <c r="A448" s="7" t="s">
        <v>47</v>
      </c>
      <c r="B448" s="1" t="s">
        <v>133</v>
      </c>
      <c r="C448" s="1" t="s">
        <v>150</v>
      </c>
      <c r="D448" s="1" t="s">
        <v>163</v>
      </c>
      <c r="E448" s="1">
        <v>1</v>
      </c>
      <c r="F448" s="1">
        <v>14.99</v>
      </c>
      <c r="G448" s="1">
        <v>8</v>
      </c>
      <c r="H448" s="1">
        <v>14.99</v>
      </c>
      <c r="I448">
        <f t="shared" si="6"/>
        <v>6.99</v>
      </c>
    </row>
    <row r="449" spans="1:9" x14ac:dyDescent="0.3">
      <c r="A449" s="7" t="s">
        <v>78</v>
      </c>
      <c r="B449" s="1" t="s">
        <v>134</v>
      </c>
      <c r="C449" s="1" t="s">
        <v>149</v>
      </c>
      <c r="D449" s="1" t="s">
        <v>161</v>
      </c>
      <c r="E449" s="1">
        <v>1</v>
      </c>
      <c r="F449" s="1">
        <v>79.989999999999995</v>
      </c>
      <c r="G449" s="1">
        <v>50</v>
      </c>
      <c r="H449" s="1">
        <v>79.989999999999995</v>
      </c>
      <c r="I449">
        <f t="shared" si="6"/>
        <v>29.989999999999995</v>
      </c>
    </row>
    <row r="450" spans="1:9" x14ac:dyDescent="0.3">
      <c r="A450" s="7" t="s">
        <v>104</v>
      </c>
      <c r="B450" s="1" t="s">
        <v>135</v>
      </c>
      <c r="C450" s="1" t="s">
        <v>150</v>
      </c>
      <c r="D450" s="1" t="s">
        <v>151</v>
      </c>
      <c r="E450" s="1">
        <v>3</v>
      </c>
      <c r="F450" s="1">
        <v>22.99</v>
      </c>
      <c r="G450" s="1">
        <v>14</v>
      </c>
      <c r="H450" s="1">
        <v>68.97</v>
      </c>
      <c r="I450">
        <f t="shared" si="6"/>
        <v>26.97</v>
      </c>
    </row>
    <row r="451" spans="1:9" x14ac:dyDescent="0.3">
      <c r="A451" s="7" t="s">
        <v>21</v>
      </c>
      <c r="B451" s="1" t="s">
        <v>136</v>
      </c>
      <c r="C451" s="1" t="s">
        <v>147</v>
      </c>
      <c r="D451" s="1" t="s">
        <v>154</v>
      </c>
      <c r="E451" s="1">
        <v>5</v>
      </c>
      <c r="F451" s="1">
        <v>11.99</v>
      </c>
      <c r="G451" s="1">
        <v>5</v>
      </c>
      <c r="H451" s="1">
        <v>59.95</v>
      </c>
      <c r="I451">
        <f t="shared" ref="I451:I501" si="7">H451-(G451*E451)</f>
        <v>34.950000000000003</v>
      </c>
    </row>
    <row r="452" spans="1:9" x14ac:dyDescent="0.3">
      <c r="A452" s="7" t="s">
        <v>80</v>
      </c>
      <c r="B452" s="1" t="s">
        <v>137</v>
      </c>
      <c r="C452" s="1" t="s">
        <v>147</v>
      </c>
      <c r="D452" s="1" t="s">
        <v>161</v>
      </c>
      <c r="E452" s="1">
        <v>5</v>
      </c>
      <c r="F452" s="1">
        <v>79.989999999999995</v>
      </c>
      <c r="G452" s="1">
        <v>50</v>
      </c>
      <c r="H452" s="1">
        <v>399.95</v>
      </c>
      <c r="I452">
        <f t="shared" si="7"/>
        <v>149.94999999999999</v>
      </c>
    </row>
    <row r="453" spans="1:9" x14ac:dyDescent="0.3">
      <c r="A453" s="7" t="s">
        <v>106</v>
      </c>
      <c r="B453" s="1" t="s">
        <v>138</v>
      </c>
      <c r="C453" s="1" t="s">
        <v>147</v>
      </c>
      <c r="D453" s="1" t="s">
        <v>167</v>
      </c>
      <c r="E453" s="1">
        <v>1</v>
      </c>
      <c r="F453" s="1">
        <v>89.99</v>
      </c>
      <c r="G453" s="1">
        <v>60</v>
      </c>
      <c r="H453" s="1">
        <v>89.99</v>
      </c>
      <c r="I453">
        <f t="shared" si="7"/>
        <v>29.989999999999995</v>
      </c>
    </row>
    <row r="454" spans="1:9" x14ac:dyDescent="0.3">
      <c r="A454" s="7" t="s">
        <v>110</v>
      </c>
      <c r="B454" s="1" t="s">
        <v>139</v>
      </c>
      <c r="C454" s="1" t="s">
        <v>147</v>
      </c>
      <c r="D454" s="1" t="s">
        <v>157</v>
      </c>
      <c r="E454" s="1">
        <v>3</v>
      </c>
      <c r="F454" s="1">
        <v>120</v>
      </c>
      <c r="G454" s="1">
        <v>80</v>
      </c>
      <c r="H454" s="1">
        <v>360</v>
      </c>
      <c r="I454">
        <f t="shared" si="7"/>
        <v>120</v>
      </c>
    </row>
    <row r="455" spans="1:9" x14ac:dyDescent="0.3">
      <c r="A455" s="7" t="s">
        <v>89</v>
      </c>
      <c r="B455" s="1" t="s">
        <v>140</v>
      </c>
      <c r="C455" s="1" t="s">
        <v>149</v>
      </c>
      <c r="D455" s="1" t="s">
        <v>167</v>
      </c>
      <c r="E455" s="1">
        <v>3</v>
      </c>
      <c r="F455" s="1">
        <v>89.99</v>
      </c>
      <c r="G455" s="1">
        <v>60</v>
      </c>
      <c r="H455" s="1">
        <v>269.97000000000003</v>
      </c>
      <c r="I455">
        <f t="shared" si="7"/>
        <v>89.970000000000027</v>
      </c>
    </row>
    <row r="456" spans="1:9" x14ac:dyDescent="0.3">
      <c r="A456" s="7" t="s">
        <v>93</v>
      </c>
      <c r="B456" s="1" t="s">
        <v>141</v>
      </c>
      <c r="C456" s="1" t="s">
        <v>147</v>
      </c>
      <c r="D456" s="1" t="s">
        <v>162</v>
      </c>
      <c r="E456" s="1">
        <v>3</v>
      </c>
      <c r="F456" s="1">
        <v>34.99</v>
      </c>
      <c r="G456" s="1">
        <v>18</v>
      </c>
      <c r="H456" s="1">
        <v>104.97</v>
      </c>
      <c r="I456">
        <f t="shared" si="7"/>
        <v>50.97</v>
      </c>
    </row>
    <row r="457" spans="1:9" x14ac:dyDescent="0.3">
      <c r="A457" s="7" t="s">
        <v>91</v>
      </c>
      <c r="B457" s="1" t="s">
        <v>142</v>
      </c>
      <c r="C457" s="1" t="s">
        <v>149</v>
      </c>
      <c r="D457" s="1" t="s">
        <v>151</v>
      </c>
      <c r="E457" s="1">
        <v>4</v>
      </c>
      <c r="F457" s="1">
        <v>22.99</v>
      </c>
      <c r="G457" s="1">
        <v>14</v>
      </c>
      <c r="H457" s="1">
        <v>91.96</v>
      </c>
      <c r="I457">
        <f t="shared" si="7"/>
        <v>35.959999999999994</v>
      </c>
    </row>
    <row r="458" spans="1:9" x14ac:dyDescent="0.3">
      <c r="A458" s="7" t="s">
        <v>66</v>
      </c>
      <c r="B458" s="1" t="s">
        <v>143</v>
      </c>
      <c r="C458" s="1" t="s">
        <v>149</v>
      </c>
      <c r="D458" s="1" t="s">
        <v>164</v>
      </c>
      <c r="E458" s="1">
        <v>5</v>
      </c>
      <c r="F458" s="1">
        <v>39.99</v>
      </c>
      <c r="G458" s="1">
        <v>22</v>
      </c>
      <c r="H458" s="1">
        <v>199.95</v>
      </c>
      <c r="I458">
        <f t="shared" si="7"/>
        <v>89.949999999999989</v>
      </c>
    </row>
    <row r="459" spans="1:9" x14ac:dyDescent="0.3">
      <c r="A459" s="7" t="s">
        <v>55</v>
      </c>
      <c r="B459" s="1" t="s">
        <v>144</v>
      </c>
      <c r="C459" s="1" t="s">
        <v>147</v>
      </c>
      <c r="D459" s="1" t="s">
        <v>159</v>
      </c>
      <c r="E459" s="1">
        <v>5</v>
      </c>
      <c r="F459" s="1">
        <v>145</v>
      </c>
      <c r="G459" s="1">
        <v>100</v>
      </c>
      <c r="H459" s="1">
        <v>725</v>
      </c>
      <c r="I459">
        <f t="shared" si="7"/>
        <v>225</v>
      </c>
    </row>
    <row r="460" spans="1:9" x14ac:dyDescent="0.3">
      <c r="A460" s="7" t="s">
        <v>115</v>
      </c>
      <c r="B460" s="1" t="s">
        <v>145</v>
      </c>
      <c r="C460" s="1" t="s">
        <v>148</v>
      </c>
      <c r="D460" s="1" t="s">
        <v>169</v>
      </c>
      <c r="E460" s="1">
        <v>3</v>
      </c>
      <c r="F460" s="1">
        <v>15.99</v>
      </c>
      <c r="G460" s="1">
        <v>9</v>
      </c>
      <c r="H460" s="1">
        <v>47.97</v>
      </c>
      <c r="I460">
        <f t="shared" si="7"/>
        <v>20.97</v>
      </c>
    </row>
    <row r="461" spans="1:9" x14ac:dyDescent="0.3">
      <c r="A461" s="7" t="s">
        <v>125</v>
      </c>
      <c r="B461" s="1" t="s">
        <v>146</v>
      </c>
      <c r="C461" s="1" t="s">
        <v>149</v>
      </c>
      <c r="D461" s="1" t="s">
        <v>160</v>
      </c>
      <c r="E461" s="1">
        <v>1</v>
      </c>
      <c r="F461" s="1">
        <v>3.5</v>
      </c>
      <c r="G461" s="1">
        <v>1.2</v>
      </c>
      <c r="H461" s="1">
        <v>3.5</v>
      </c>
      <c r="I461">
        <f t="shared" si="7"/>
        <v>2.2999999999999998</v>
      </c>
    </row>
    <row r="462" spans="1:9" x14ac:dyDescent="0.3">
      <c r="A462" s="7" t="s">
        <v>70</v>
      </c>
      <c r="B462" s="1" t="s">
        <v>127</v>
      </c>
      <c r="C462" s="1" t="s">
        <v>149</v>
      </c>
      <c r="D462" s="1" t="s">
        <v>168</v>
      </c>
      <c r="E462" s="1">
        <v>1</v>
      </c>
      <c r="F462" s="1">
        <v>129.99</v>
      </c>
      <c r="G462" s="1">
        <v>95</v>
      </c>
      <c r="H462" s="1">
        <v>129.99</v>
      </c>
      <c r="I462">
        <f t="shared" si="7"/>
        <v>34.990000000000009</v>
      </c>
    </row>
    <row r="463" spans="1:9" x14ac:dyDescent="0.3">
      <c r="A463" s="7" t="s">
        <v>41</v>
      </c>
      <c r="B463" s="1" t="s">
        <v>128</v>
      </c>
      <c r="C463" s="1" t="s">
        <v>149</v>
      </c>
      <c r="D463" s="1" t="s">
        <v>157</v>
      </c>
      <c r="E463" s="1">
        <v>4</v>
      </c>
      <c r="F463" s="1">
        <v>120</v>
      </c>
      <c r="G463" s="1">
        <v>80</v>
      </c>
      <c r="H463" s="1">
        <v>480</v>
      </c>
      <c r="I463">
        <f t="shared" si="7"/>
        <v>160</v>
      </c>
    </row>
    <row r="464" spans="1:9" x14ac:dyDescent="0.3">
      <c r="A464" s="7" t="s">
        <v>101</v>
      </c>
      <c r="B464" s="1" t="s">
        <v>129</v>
      </c>
      <c r="C464" s="1" t="s">
        <v>148</v>
      </c>
      <c r="D464" s="1" t="s">
        <v>155</v>
      </c>
      <c r="E464" s="1">
        <v>4</v>
      </c>
      <c r="F464" s="1">
        <v>59.99</v>
      </c>
      <c r="G464" s="1">
        <v>35</v>
      </c>
      <c r="H464" s="1">
        <v>239.96</v>
      </c>
      <c r="I464">
        <f t="shared" si="7"/>
        <v>99.960000000000008</v>
      </c>
    </row>
    <row r="465" spans="1:9" x14ac:dyDescent="0.3">
      <c r="A465" s="7" t="s">
        <v>14</v>
      </c>
      <c r="B465" s="1" t="s">
        <v>130</v>
      </c>
      <c r="C465" s="1" t="s">
        <v>149</v>
      </c>
      <c r="D465" s="1" t="s">
        <v>168</v>
      </c>
      <c r="E465" s="1">
        <v>2</v>
      </c>
      <c r="F465" s="1">
        <v>129.99</v>
      </c>
      <c r="G465" s="1">
        <v>95</v>
      </c>
      <c r="H465" s="1">
        <v>259.98</v>
      </c>
      <c r="I465">
        <f t="shared" si="7"/>
        <v>69.980000000000018</v>
      </c>
    </row>
    <row r="466" spans="1:9" x14ac:dyDescent="0.3">
      <c r="A466" s="7" t="s">
        <v>122</v>
      </c>
      <c r="B466" s="1" t="s">
        <v>131</v>
      </c>
      <c r="C466" s="1" t="s">
        <v>147</v>
      </c>
      <c r="D466" s="1" t="s">
        <v>161</v>
      </c>
      <c r="E466" s="1">
        <v>5</v>
      </c>
      <c r="F466" s="1">
        <v>79.989999999999995</v>
      </c>
      <c r="G466" s="1">
        <v>50</v>
      </c>
      <c r="H466" s="1">
        <v>399.95</v>
      </c>
      <c r="I466">
        <f t="shared" si="7"/>
        <v>149.94999999999999</v>
      </c>
    </row>
    <row r="467" spans="1:9" x14ac:dyDescent="0.3">
      <c r="A467" s="7" t="s">
        <v>56</v>
      </c>
      <c r="B467" s="1" t="s">
        <v>132</v>
      </c>
      <c r="C467" s="1" t="s">
        <v>149</v>
      </c>
      <c r="D467" s="1" t="s">
        <v>168</v>
      </c>
      <c r="E467" s="1">
        <v>1</v>
      </c>
      <c r="F467" s="1">
        <v>129.99</v>
      </c>
      <c r="G467" s="1">
        <v>95</v>
      </c>
      <c r="H467" s="1">
        <v>129.99</v>
      </c>
      <c r="I467">
        <f t="shared" si="7"/>
        <v>34.990000000000009</v>
      </c>
    </row>
    <row r="468" spans="1:9" x14ac:dyDescent="0.3">
      <c r="A468" s="7" t="s">
        <v>109</v>
      </c>
      <c r="B468" s="1" t="s">
        <v>133</v>
      </c>
      <c r="C468" s="1" t="s">
        <v>149</v>
      </c>
      <c r="D468" s="1" t="s">
        <v>158</v>
      </c>
      <c r="E468" s="1">
        <v>3</v>
      </c>
      <c r="F468" s="1">
        <v>20</v>
      </c>
      <c r="G468" s="1">
        <v>12</v>
      </c>
      <c r="H468" s="1">
        <v>60</v>
      </c>
      <c r="I468">
        <f t="shared" si="7"/>
        <v>24</v>
      </c>
    </row>
    <row r="469" spans="1:9" x14ac:dyDescent="0.3">
      <c r="A469" s="7" t="s">
        <v>13</v>
      </c>
      <c r="B469" s="1" t="s">
        <v>134</v>
      </c>
      <c r="C469" s="1" t="s">
        <v>149</v>
      </c>
      <c r="D469" s="1" t="s">
        <v>158</v>
      </c>
      <c r="E469" s="1">
        <v>2</v>
      </c>
      <c r="F469" s="1">
        <v>20</v>
      </c>
      <c r="G469" s="1">
        <v>12</v>
      </c>
      <c r="H469" s="1">
        <v>40</v>
      </c>
      <c r="I469">
        <f t="shared" si="7"/>
        <v>16</v>
      </c>
    </row>
    <row r="470" spans="1:9" x14ac:dyDescent="0.3">
      <c r="A470" s="7" t="s">
        <v>65</v>
      </c>
      <c r="B470" s="1" t="s">
        <v>135</v>
      </c>
      <c r="C470" s="1" t="s">
        <v>147</v>
      </c>
      <c r="D470" s="1" t="s">
        <v>154</v>
      </c>
      <c r="E470" s="1">
        <v>2</v>
      </c>
      <c r="F470" s="1">
        <v>11.99</v>
      </c>
      <c r="G470" s="1">
        <v>5</v>
      </c>
      <c r="H470" s="1">
        <v>23.98</v>
      </c>
      <c r="I470">
        <f t="shared" si="7"/>
        <v>13.98</v>
      </c>
    </row>
    <row r="471" spans="1:9" x14ac:dyDescent="0.3">
      <c r="A471" s="7" t="s">
        <v>44</v>
      </c>
      <c r="B471" s="1" t="s">
        <v>136</v>
      </c>
      <c r="C471" s="1" t="s">
        <v>150</v>
      </c>
      <c r="D471" s="1" t="s">
        <v>154</v>
      </c>
      <c r="E471" s="1">
        <v>2</v>
      </c>
      <c r="F471" s="1">
        <v>11.99</v>
      </c>
      <c r="G471" s="1">
        <v>5</v>
      </c>
      <c r="H471" s="1">
        <v>23.98</v>
      </c>
      <c r="I471">
        <f t="shared" si="7"/>
        <v>13.98</v>
      </c>
    </row>
    <row r="472" spans="1:9" x14ac:dyDescent="0.3">
      <c r="A472" s="7" t="s">
        <v>126</v>
      </c>
      <c r="B472" s="1" t="s">
        <v>137</v>
      </c>
      <c r="C472" s="1" t="s">
        <v>147</v>
      </c>
      <c r="D472" s="1" t="s">
        <v>154</v>
      </c>
      <c r="E472" s="1">
        <v>1</v>
      </c>
      <c r="F472" s="1">
        <v>11.99</v>
      </c>
      <c r="G472" s="1">
        <v>5</v>
      </c>
      <c r="H472" s="1">
        <v>11.99</v>
      </c>
      <c r="I472">
        <f t="shared" si="7"/>
        <v>6.99</v>
      </c>
    </row>
    <row r="473" spans="1:9" x14ac:dyDescent="0.3">
      <c r="A473" s="7" t="s">
        <v>10</v>
      </c>
      <c r="B473" s="1" t="s">
        <v>138</v>
      </c>
      <c r="C473" s="1" t="s">
        <v>148</v>
      </c>
      <c r="D473" s="1" t="s">
        <v>157</v>
      </c>
      <c r="E473" s="1">
        <v>4</v>
      </c>
      <c r="F473" s="1">
        <v>120</v>
      </c>
      <c r="G473" s="1">
        <v>80</v>
      </c>
      <c r="H473" s="1">
        <v>480</v>
      </c>
      <c r="I473">
        <f t="shared" si="7"/>
        <v>160</v>
      </c>
    </row>
    <row r="474" spans="1:9" x14ac:dyDescent="0.3">
      <c r="A474" s="7" t="s">
        <v>124</v>
      </c>
      <c r="B474" s="1" t="s">
        <v>139</v>
      </c>
      <c r="C474" s="1" t="s">
        <v>149</v>
      </c>
      <c r="D474" s="1" t="s">
        <v>160</v>
      </c>
      <c r="E474" s="1">
        <v>1</v>
      </c>
      <c r="F474" s="1">
        <v>3.5</v>
      </c>
      <c r="G474" s="1">
        <v>1.2</v>
      </c>
      <c r="H474" s="1">
        <v>3.5</v>
      </c>
      <c r="I474">
        <f t="shared" si="7"/>
        <v>2.2999999999999998</v>
      </c>
    </row>
    <row r="475" spans="1:9" x14ac:dyDescent="0.3">
      <c r="A475" s="7" t="s">
        <v>93</v>
      </c>
      <c r="B475" s="1" t="s">
        <v>140</v>
      </c>
      <c r="C475" s="1" t="s">
        <v>148</v>
      </c>
      <c r="D475" s="1" t="s">
        <v>165</v>
      </c>
      <c r="E475" s="1">
        <v>3</v>
      </c>
      <c r="F475" s="1">
        <v>18</v>
      </c>
      <c r="G475" s="1">
        <v>9</v>
      </c>
      <c r="H475" s="1">
        <v>54</v>
      </c>
      <c r="I475">
        <f t="shared" si="7"/>
        <v>27</v>
      </c>
    </row>
    <row r="476" spans="1:9" x14ac:dyDescent="0.3">
      <c r="A476" s="7" t="s">
        <v>30</v>
      </c>
      <c r="B476" s="1" t="s">
        <v>141</v>
      </c>
      <c r="C476" s="1" t="s">
        <v>147</v>
      </c>
      <c r="D476" s="1" t="s">
        <v>156</v>
      </c>
      <c r="E476" s="1">
        <v>3</v>
      </c>
      <c r="F476" s="1">
        <v>9.99</v>
      </c>
      <c r="G476" s="1">
        <v>4.5</v>
      </c>
      <c r="H476" s="1">
        <v>29.97</v>
      </c>
      <c r="I476">
        <f t="shared" si="7"/>
        <v>16.47</v>
      </c>
    </row>
    <row r="477" spans="1:9" x14ac:dyDescent="0.3">
      <c r="A477" s="7" t="s">
        <v>105</v>
      </c>
      <c r="B477" s="1" t="s">
        <v>142</v>
      </c>
      <c r="C477" s="1" t="s">
        <v>147</v>
      </c>
      <c r="D477" s="1" t="s">
        <v>162</v>
      </c>
      <c r="E477" s="1">
        <v>1</v>
      </c>
      <c r="F477" s="1">
        <v>34.99</v>
      </c>
      <c r="G477" s="1">
        <v>18</v>
      </c>
      <c r="H477" s="1">
        <v>34.99</v>
      </c>
      <c r="I477">
        <f t="shared" si="7"/>
        <v>16.990000000000002</v>
      </c>
    </row>
    <row r="478" spans="1:9" x14ac:dyDescent="0.3">
      <c r="A478" s="7" t="s">
        <v>104</v>
      </c>
      <c r="B478" s="1" t="s">
        <v>143</v>
      </c>
      <c r="C478" s="1" t="s">
        <v>148</v>
      </c>
      <c r="D478" s="1" t="s">
        <v>153</v>
      </c>
      <c r="E478" s="1">
        <v>1</v>
      </c>
      <c r="F478" s="1">
        <v>12.5</v>
      </c>
      <c r="G478" s="1">
        <v>6.2</v>
      </c>
      <c r="H478" s="1">
        <v>12.5</v>
      </c>
      <c r="I478">
        <f t="shared" si="7"/>
        <v>6.3</v>
      </c>
    </row>
    <row r="479" spans="1:9" x14ac:dyDescent="0.3">
      <c r="A479" s="7" t="s">
        <v>46</v>
      </c>
      <c r="B479" s="1" t="s">
        <v>144</v>
      </c>
      <c r="C479" s="1" t="s">
        <v>150</v>
      </c>
      <c r="D479" s="1" t="s">
        <v>157</v>
      </c>
      <c r="E479" s="1">
        <v>1</v>
      </c>
      <c r="F479" s="1">
        <v>120</v>
      </c>
      <c r="G479" s="1">
        <v>80</v>
      </c>
      <c r="H479" s="1">
        <v>120</v>
      </c>
      <c r="I479">
        <f t="shared" si="7"/>
        <v>40</v>
      </c>
    </row>
    <row r="480" spans="1:9" x14ac:dyDescent="0.3">
      <c r="A480" s="7" t="s">
        <v>33</v>
      </c>
      <c r="B480" s="1" t="s">
        <v>145</v>
      </c>
      <c r="C480" s="1" t="s">
        <v>148</v>
      </c>
      <c r="D480" s="1" t="s">
        <v>165</v>
      </c>
      <c r="E480" s="1">
        <v>5</v>
      </c>
      <c r="F480" s="1">
        <v>18</v>
      </c>
      <c r="G480" s="1">
        <v>9</v>
      </c>
      <c r="H480" s="1">
        <v>90</v>
      </c>
      <c r="I480">
        <f t="shared" si="7"/>
        <v>45</v>
      </c>
    </row>
    <row r="481" spans="1:9" x14ac:dyDescent="0.3">
      <c r="A481" s="7" t="s">
        <v>55</v>
      </c>
      <c r="B481" s="1" t="s">
        <v>146</v>
      </c>
      <c r="C481" s="1" t="s">
        <v>150</v>
      </c>
      <c r="D481" s="1" t="s">
        <v>158</v>
      </c>
      <c r="E481" s="1">
        <v>5</v>
      </c>
      <c r="F481" s="1">
        <v>20</v>
      </c>
      <c r="G481" s="1">
        <v>12</v>
      </c>
      <c r="H481" s="1">
        <v>100</v>
      </c>
      <c r="I481">
        <f t="shared" si="7"/>
        <v>40</v>
      </c>
    </row>
    <row r="482" spans="1:9" x14ac:dyDescent="0.3">
      <c r="A482" s="7" t="s">
        <v>68</v>
      </c>
      <c r="B482" s="1" t="s">
        <v>127</v>
      </c>
      <c r="C482" s="1" t="s">
        <v>149</v>
      </c>
      <c r="D482" s="1" t="s">
        <v>166</v>
      </c>
      <c r="E482" s="1">
        <v>5</v>
      </c>
      <c r="F482" s="1">
        <v>25</v>
      </c>
      <c r="G482" s="1">
        <v>12</v>
      </c>
      <c r="H482" s="1">
        <v>125</v>
      </c>
      <c r="I482">
        <f t="shared" si="7"/>
        <v>65</v>
      </c>
    </row>
    <row r="483" spans="1:9" x14ac:dyDescent="0.3">
      <c r="A483" s="7" t="s">
        <v>69</v>
      </c>
      <c r="B483" s="1" t="s">
        <v>128</v>
      </c>
      <c r="C483" s="1" t="s">
        <v>148</v>
      </c>
      <c r="D483" s="1" t="s">
        <v>158</v>
      </c>
      <c r="E483" s="1">
        <v>2</v>
      </c>
      <c r="F483" s="1">
        <v>20</v>
      </c>
      <c r="G483" s="1">
        <v>12</v>
      </c>
      <c r="H483" s="1">
        <v>40</v>
      </c>
      <c r="I483">
        <f t="shared" si="7"/>
        <v>16</v>
      </c>
    </row>
    <row r="484" spans="1:9" x14ac:dyDescent="0.3">
      <c r="A484" s="7" t="s">
        <v>43</v>
      </c>
      <c r="B484" s="1" t="s">
        <v>129</v>
      </c>
      <c r="C484" s="1" t="s">
        <v>148</v>
      </c>
      <c r="D484" s="1" t="s">
        <v>168</v>
      </c>
      <c r="E484" s="1">
        <v>2</v>
      </c>
      <c r="F484" s="1">
        <v>129.99</v>
      </c>
      <c r="G484" s="1">
        <v>95</v>
      </c>
      <c r="H484" s="1">
        <v>259.98</v>
      </c>
      <c r="I484">
        <f t="shared" si="7"/>
        <v>69.980000000000018</v>
      </c>
    </row>
    <row r="485" spans="1:9" x14ac:dyDescent="0.3">
      <c r="A485" s="7" t="s">
        <v>70</v>
      </c>
      <c r="B485" s="1" t="s">
        <v>130</v>
      </c>
      <c r="C485" s="1" t="s">
        <v>149</v>
      </c>
      <c r="D485" s="1" t="s">
        <v>157</v>
      </c>
      <c r="E485" s="1">
        <v>1</v>
      </c>
      <c r="F485" s="1">
        <v>120</v>
      </c>
      <c r="G485" s="1">
        <v>80</v>
      </c>
      <c r="H485" s="1">
        <v>120</v>
      </c>
      <c r="I485">
        <f t="shared" si="7"/>
        <v>40</v>
      </c>
    </row>
    <row r="486" spans="1:9" x14ac:dyDescent="0.3">
      <c r="A486" s="7" t="s">
        <v>85</v>
      </c>
      <c r="B486" s="1" t="s">
        <v>131</v>
      </c>
      <c r="C486" s="1" t="s">
        <v>149</v>
      </c>
      <c r="D486" s="1" t="s">
        <v>154</v>
      </c>
      <c r="E486" s="1">
        <v>3</v>
      </c>
      <c r="F486" s="1">
        <v>11.99</v>
      </c>
      <c r="G486" s="1">
        <v>5</v>
      </c>
      <c r="H486" s="1">
        <v>35.97</v>
      </c>
      <c r="I486">
        <f t="shared" si="7"/>
        <v>20.97</v>
      </c>
    </row>
    <row r="487" spans="1:9" x14ac:dyDescent="0.3">
      <c r="A487" s="7" t="s">
        <v>9</v>
      </c>
      <c r="B487" s="1" t="s">
        <v>132</v>
      </c>
      <c r="C487" s="1" t="s">
        <v>150</v>
      </c>
      <c r="D487" s="1" t="s">
        <v>154</v>
      </c>
      <c r="E487" s="1">
        <v>5</v>
      </c>
      <c r="F487" s="1">
        <v>11.99</v>
      </c>
      <c r="G487" s="1">
        <v>5</v>
      </c>
      <c r="H487" s="1">
        <v>59.95</v>
      </c>
      <c r="I487">
        <f t="shared" si="7"/>
        <v>34.950000000000003</v>
      </c>
    </row>
    <row r="488" spans="1:9" x14ac:dyDescent="0.3">
      <c r="A488" s="7" t="s">
        <v>86</v>
      </c>
      <c r="B488" s="1" t="s">
        <v>133</v>
      </c>
      <c r="C488" s="1" t="s">
        <v>149</v>
      </c>
      <c r="D488" s="1" t="s">
        <v>168</v>
      </c>
      <c r="E488" s="1">
        <v>4</v>
      </c>
      <c r="F488" s="1">
        <v>129.99</v>
      </c>
      <c r="G488" s="1">
        <v>95</v>
      </c>
      <c r="H488" s="1">
        <v>519.96</v>
      </c>
      <c r="I488">
        <f t="shared" si="7"/>
        <v>139.96000000000004</v>
      </c>
    </row>
    <row r="489" spans="1:9" x14ac:dyDescent="0.3">
      <c r="A489" s="7" t="s">
        <v>67</v>
      </c>
      <c r="B489" s="1" t="s">
        <v>134</v>
      </c>
      <c r="C489" s="1" t="s">
        <v>150</v>
      </c>
      <c r="D489" s="1" t="s">
        <v>161</v>
      </c>
      <c r="E489" s="1">
        <v>4</v>
      </c>
      <c r="F489" s="1">
        <v>79.989999999999995</v>
      </c>
      <c r="G489" s="1">
        <v>50</v>
      </c>
      <c r="H489" s="1">
        <v>319.95999999999998</v>
      </c>
      <c r="I489">
        <f t="shared" si="7"/>
        <v>119.95999999999998</v>
      </c>
    </row>
    <row r="490" spans="1:9" x14ac:dyDescent="0.3">
      <c r="A490" s="7" t="s">
        <v>126</v>
      </c>
      <c r="B490" s="1" t="s">
        <v>135</v>
      </c>
      <c r="C490" s="1" t="s">
        <v>150</v>
      </c>
      <c r="D490" s="1" t="s">
        <v>153</v>
      </c>
      <c r="E490" s="1">
        <v>1</v>
      </c>
      <c r="F490" s="1">
        <v>12.5</v>
      </c>
      <c r="G490" s="1">
        <v>6.2</v>
      </c>
      <c r="H490" s="1">
        <v>12.5</v>
      </c>
      <c r="I490">
        <f t="shared" si="7"/>
        <v>6.3</v>
      </c>
    </row>
    <row r="491" spans="1:9" x14ac:dyDescent="0.3">
      <c r="A491" s="7" t="s">
        <v>102</v>
      </c>
      <c r="B491" s="1" t="s">
        <v>136</v>
      </c>
      <c r="C491" s="1" t="s">
        <v>149</v>
      </c>
      <c r="D491" s="1" t="s">
        <v>164</v>
      </c>
      <c r="E491" s="1">
        <v>5</v>
      </c>
      <c r="F491" s="1">
        <v>39.99</v>
      </c>
      <c r="G491" s="1">
        <v>22</v>
      </c>
      <c r="H491" s="1">
        <v>199.95</v>
      </c>
      <c r="I491">
        <f t="shared" si="7"/>
        <v>89.949999999999989</v>
      </c>
    </row>
    <row r="492" spans="1:9" x14ac:dyDescent="0.3">
      <c r="A492" s="7" t="s">
        <v>107</v>
      </c>
      <c r="B492" s="1" t="s">
        <v>137</v>
      </c>
      <c r="C492" s="1" t="s">
        <v>147</v>
      </c>
      <c r="D492" s="1" t="s">
        <v>170</v>
      </c>
      <c r="E492" s="1">
        <v>4</v>
      </c>
      <c r="F492" s="1">
        <v>2.99</v>
      </c>
      <c r="G492" s="1">
        <v>1</v>
      </c>
      <c r="H492" s="1">
        <v>11.96</v>
      </c>
      <c r="I492">
        <f t="shared" si="7"/>
        <v>7.9600000000000009</v>
      </c>
    </row>
    <row r="493" spans="1:9" x14ac:dyDescent="0.3">
      <c r="A493" s="7" t="s">
        <v>112</v>
      </c>
      <c r="B493" s="1" t="s">
        <v>138</v>
      </c>
      <c r="C493" s="1" t="s">
        <v>150</v>
      </c>
      <c r="D493" s="1" t="s">
        <v>165</v>
      </c>
      <c r="E493" s="1">
        <v>1</v>
      </c>
      <c r="F493" s="1">
        <v>18</v>
      </c>
      <c r="G493" s="1">
        <v>9</v>
      </c>
      <c r="H493" s="1">
        <v>18</v>
      </c>
      <c r="I493">
        <f t="shared" si="7"/>
        <v>9</v>
      </c>
    </row>
    <row r="494" spans="1:9" x14ac:dyDescent="0.3">
      <c r="A494" s="7" t="s">
        <v>81</v>
      </c>
      <c r="B494" s="1" t="s">
        <v>139</v>
      </c>
      <c r="C494" s="1" t="s">
        <v>149</v>
      </c>
      <c r="D494" s="1" t="s">
        <v>151</v>
      </c>
      <c r="E494" s="1">
        <v>5</v>
      </c>
      <c r="F494" s="1">
        <v>22.99</v>
      </c>
      <c r="G494" s="1">
        <v>14</v>
      </c>
      <c r="H494" s="1">
        <v>114.95</v>
      </c>
      <c r="I494">
        <f t="shared" si="7"/>
        <v>44.95</v>
      </c>
    </row>
    <row r="495" spans="1:9" x14ac:dyDescent="0.3">
      <c r="A495" s="7" t="s">
        <v>18</v>
      </c>
      <c r="B495" s="1" t="s">
        <v>140</v>
      </c>
      <c r="C495" s="1" t="s">
        <v>149</v>
      </c>
      <c r="D495" s="1" t="s">
        <v>161</v>
      </c>
      <c r="E495" s="1">
        <v>5</v>
      </c>
      <c r="F495" s="1">
        <v>79.989999999999995</v>
      </c>
      <c r="G495" s="1">
        <v>50</v>
      </c>
      <c r="H495" s="1">
        <v>399.95</v>
      </c>
      <c r="I495">
        <f t="shared" si="7"/>
        <v>149.94999999999999</v>
      </c>
    </row>
    <row r="496" spans="1:9" x14ac:dyDescent="0.3">
      <c r="A496" s="7" t="s">
        <v>116</v>
      </c>
      <c r="B496" s="1" t="s">
        <v>141</v>
      </c>
      <c r="C496" s="1" t="s">
        <v>150</v>
      </c>
      <c r="D496" s="1" t="s">
        <v>161</v>
      </c>
      <c r="E496" s="1">
        <v>4</v>
      </c>
      <c r="F496" s="1">
        <v>79.989999999999995</v>
      </c>
      <c r="G496" s="1">
        <v>50</v>
      </c>
      <c r="H496" s="1">
        <v>319.95999999999998</v>
      </c>
      <c r="I496">
        <f t="shared" si="7"/>
        <v>119.95999999999998</v>
      </c>
    </row>
    <row r="497" spans="1:9" x14ac:dyDescent="0.3">
      <c r="A497" s="7" t="s">
        <v>108</v>
      </c>
      <c r="B497" s="1" t="s">
        <v>142</v>
      </c>
      <c r="C497" s="1" t="s">
        <v>147</v>
      </c>
      <c r="D497" s="1" t="s">
        <v>154</v>
      </c>
      <c r="E497" s="1">
        <v>4</v>
      </c>
      <c r="F497" s="1">
        <v>11.99</v>
      </c>
      <c r="G497" s="1">
        <v>5</v>
      </c>
      <c r="H497" s="1">
        <v>47.96</v>
      </c>
      <c r="I497">
        <f t="shared" si="7"/>
        <v>27.96</v>
      </c>
    </row>
    <row r="498" spans="1:9" x14ac:dyDescent="0.3">
      <c r="A498" s="7" t="s">
        <v>16</v>
      </c>
      <c r="B498" s="1" t="s">
        <v>143</v>
      </c>
      <c r="C498" s="1" t="s">
        <v>150</v>
      </c>
      <c r="D498" s="1" t="s">
        <v>151</v>
      </c>
      <c r="E498" s="1">
        <v>2</v>
      </c>
      <c r="F498" s="1">
        <v>22.99</v>
      </c>
      <c r="G498" s="1">
        <v>14</v>
      </c>
      <c r="H498" s="1">
        <v>45.98</v>
      </c>
      <c r="I498">
        <f t="shared" si="7"/>
        <v>17.979999999999997</v>
      </c>
    </row>
    <row r="499" spans="1:9" x14ac:dyDescent="0.3">
      <c r="A499" s="7" t="s">
        <v>44</v>
      </c>
      <c r="B499" s="1" t="s">
        <v>144</v>
      </c>
      <c r="C499" s="1" t="s">
        <v>147</v>
      </c>
      <c r="D499" s="1" t="s">
        <v>158</v>
      </c>
      <c r="E499" s="1">
        <v>2</v>
      </c>
      <c r="F499" s="1">
        <v>20</v>
      </c>
      <c r="G499" s="1">
        <v>12</v>
      </c>
      <c r="H499" s="1">
        <v>40</v>
      </c>
      <c r="I499">
        <f t="shared" si="7"/>
        <v>16</v>
      </c>
    </row>
    <row r="500" spans="1:9" x14ac:dyDescent="0.3">
      <c r="A500" s="7" t="s">
        <v>8</v>
      </c>
      <c r="B500" s="1" t="s">
        <v>145</v>
      </c>
      <c r="C500" s="1" t="s">
        <v>150</v>
      </c>
      <c r="D500" s="1" t="s">
        <v>154</v>
      </c>
      <c r="E500" s="1">
        <v>5</v>
      </c>
      <c r="F500" s="1">
        <v>11.99</v>
      </c>
      <c r="G500" s="1">
        <v>5</v>
      </c>
      <c r="H500" s="1">
        <v>59.95</v>
      </c>
      <c r="I500">
        <f t="shared" si="7"/>
        <v>34.950000000000003</v>
      </c>
    </row>
    <row r="501" spans="1:9" x14ac:dyDescent="0.3">
      <c r="A501" s="7" t="s">
        <v>65</v>
      </c>
      <c r="B501" s="1" t="s">
        <v>146</v>
      </c>
      <c r="C501" s="1" t="s">
        <v>148</v>
      </c>
      <c r="D501" s="1" t="s">
        <v>164</v>
      </c>
      <c r="E501" s="1">
        <v>4</v>
      </c>
      <c r="F501" s="1">
        <v>39.99</v>
      </c>
      <c r="G501" s="1">
        <v>22</v>
      </c>
      <c r="H501" s="1">
        <v>159.96</v>
      </c>
      <c r="I501">
        <f t="shared" si="7"/>
        <v>71.960000000000008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A59C9-0A2A-41E4-B150-46AC70010263}">
  <dimension ref="A3:K24"/>
  <sheetViews>
    <sheetView topLeftCell="A25" workbookViewId="0">
      <selection activeCell="B6" sqref="B6"/>
    </sheetView>
  </sheetViews>
  <sheetFormatPr defaultRowHeight="14.4" x14ac:dyDescent="0.3"/>
  <cols>
    <col min="1" max="1" width="12.5546875" bestFit="1" customWidth="1"/>
    <col min="2" max="2" width="16.44140625" bestFit="1" customWidth="1"/>
    <col min="4" max="4" width="16.109375" bestFit="1" customWidth="1"/>
    <col min="5" max="5" width="16.44140625" bestFit="1" customWidth="1"/>
    <col min="7" max="7" width="14.109375" bestFit="1" customWidth="1"/>
    <col min="8" max="8" width="16.44140625" bestFit="1" customWidth="1"/>
    <col min="10" max="10" width="16.109375" bestFit="1" customWidth="1"/>
    <col min="11" max="11" width="16" bestFit="1" customWidth="1"/>
  </cols>
  <sheetData>
    <row r="3" spans="1:11" x14ac:dyDescent="0.3">
      <c r="A3" s="8" t="s">
        <v>176</v>
      </c>
      <c r="B3" t="s">
        <v>177</v>
      </c>
      <c r="D3" s="8" t="s">
        <v>176</v>
      </c>
      <c r="E3" t="s">
        <v>177</v>
      </c>
      <c r="G3" s="8" t="s">
        <v>176</v>
      </c>
      <c r="H3" t="s">
        <v>177</v>
      </c>
      <c r="J3" s="8" t="s">
        <v>176</v>
      </c>
      <c r="K3" t="s">
        <v>178</v>
      </c>
    </row>
    <row r="4" spans="1:11" x14ac:dyDescent="0.3">
      <c r="A4" s="9" t="s">
        <v>149</v>
      </c>
      <c r="B4">
        <v>14325.469999999987</v>
      </c>
      <c r="D4" s="9" t="s">
        <v>163</v>
      </c>
      <c r="E4">
        <v>1049.3000000000002</v>
      </c>
      <c r="G4" s="9" t="s">
        <v>127</v>
      </c>
      <c r="H4">
        <v>3574.9700000000003</v>
      </c>
      <c r="J4" s="9" t="s">
        <v>163</v>
      </c>
      <c r="K4">
        <v>70</v>
      </c>
    </row>
    <row r="5" spans="1:11" x14ac:dyDescent="0.3">
      <c r="A5" s="9" t="s">
        <v>148</v>
      </c>
      <c r="B5">
        <v>17284.929999999989</v>
      </c>
      <c r="D5" s="9" t="s">
        <v>152</v>
      </c>
      <c r="E5">
        <v>3465</v>
      </c>
      <c r="G5" s="9" t="s">
        <v>128</v>
      </c>
      <c r="H5">
        <v>4303.67</v>
      </c>
      <c r="J5" s="9" t="s">
        <v>152</v>
      </c>
      <c r="K5">
        <v>77</v>
      </c>
    </row>
    <row r="6" spans="1:11" x14ac:dyDescent="0.3">
      <c r="A6" s="9" t="s">
        <v>147</v>
      </c>
      <c r="B6">
        <v>16508.869999999988</v>
      </c>
      <c r="D6" s="9" t="s">
        <v>159</v>
      </c>
      <c r="E6">
        <v>8120</v>
      </c>
      <c r="G6" s="9" t="s">
        <v>129</v>
      </c>
      <c r="H6">
        <v>3339.6200000000003</v>
      </c>
      <c r="J6" s="9" t="s">
        <v>159</v>
      </c>
      <c r="K6">
        <v>56</v>
      </c>
    </row>
    <row r="7" spans="1:11" x14ac:dyDescent="0.3">
      <c r="A7" s="9" t="s">
        <v>150</v>
      </c>
      <c r="B7">
        <v>17369.909999999985</v>
      </c>
      <c r="D7" s="9" t="s">
        <v>156</v>
      </c>
      <c r="E7">
        <v>719.2800000000002</v>
      </c>
      <c r="G7" s="9" t="s">
        <v>130</v>
      </c>
      <c r="H7">
        <v>3917.0299999999984</v>
      </c>
      <c r="J7" s="9" t="s">
        <v>156</v>
      </c>
      <c r="K7">
        <v>72</v>
      </c>
    </row>
    <row r="8" spans="1:11" x14ac:dyDescent="0.3">
      <c r="A8" s="9" t="s">
        <v>171</v>
      </c>
      <c r="B8">
        <v>65489.179999999949</v>
      </c>
      <c r="D8" s="9" t="s">
        <v>151</v>
      </c>
      <c r="E8">
        <v>1678.2700000000004</v>
      </c>
      <c r="G8" s="9" t="s">
        <v>131</v>
      </c>
      <c r="H8">
        <v>3359.1199999999994</v>
      </c>
      <c r="J8" s="9" t="s">
        <v>151</v>
      </c>
      <c r="K8">
        <v>73</v>
      </c>
    </row>
    <row r="9" spans="1:11" x14ac:dyDescent="0.3">
      <c r="D9" s="9" t="s">
        <v>170</v>
      </c>
      <c r="E9">
        <v>245.18</v>
      </c>
      <c r="G9" s="9" t="s">
        <v>132</v>
      </c>
      <c r="H9">
        <v>2411.66</v>
      </c>
      <c r="J9" s="9" t="s">
        <v>170</v>
      </c>
      <c r="K9">
        <v>82</v>
      </c>
    </row>
    <row r="10" spans="1:11" x14ac:dyDescent="0.3">
      <c r="D10" s="9" t="s">
        <v>162</v>
      </c>
      <c r="E10">
        <v>2659.2399999999993</v>
      </c>
      <c r="G10" s="9" t="s">
        <v>133</v>
      </c>
      <c r="H10">
        <v>4032.9199999999992</v>
      </c>
      <c r="J10" s="9" t="s">
        <v>162</v>
      </c>
      <c r="K10">
        <v>76</v>
      </c>
    </row>
    <row r="11" spans="1:11" x14ac:dyDescent="0.3">
      <c r="D11" s="9" t="s">
        <v>165</v>
      </c>
      <c r="E11">
        <v>1422</v>
      </c>
      <c r="G11" s="9" t="s">
        <v>134</v>
      </c>
      <c r="H11">
        <v>2638.08</v>
      </c>
      <c r="J11" s="9" t="s">
        <v>165</v>
      </c>
      <c r="K11">
        <v>79</v>
      </c>
    </row>
    <row r="12" spans="1:11" x14ac:dyDescent="0.3">
      <c r="D12" s="9" t="s">
        <v>166</v>
      </c>
      <c r="E12">
        <v>1825</v>
      </c>
      <c r="G12" s="9" t="s">
        <v>135</v>
      </c>
      <c r="H12">
        <v>2730.6399999999994</v>
      </c>
      <c r="J12" s="9" t="s">
        <v>166</v>
      </c>
      <c r="K12">
        <v>73</v>
      </c>
    </row>
    <row r="13" spans="1:11" x14ac:dyDescent="0.3">
      <c r="D13" s="9" t="s">
        <v>168</v>
      </c>
      <c r="E13">
        <v>7929.3899999999985</v>
      </c>
      <c r="G13" s="9" t="s">
        <v>136</v>
      </c>
      <c r="H13">
        <v>3628.46</v>
      </c>
      <c r="J13" s="9" t="s">
        <v>168</v>
      </c>
      <c r="K13">
        <v>61</v>
      </c>
    </row>
    <row r="14" spans="1:11" x14ac:dyDescent="0.3">
      <c r="D14" s="9" t="s">
        <v>160</v>
      </c>
      <c r="E14">
        <v>234.5</v>
      </c>
      <c r="G14" s="9" t="s">
        <v>137</v>
      </c>
      <c r="H14">
        <v>3655.91</v>
      </c>
      <c r="J14" s="9" t="s">
        <v>160</v>
      </c>
      <c r="K14">
        <v>67</v>
      </c>
    </row>
    <row r="15" spans="1:11" x14ac:dyDescent="0.3">
      <c r="D15" s="9" t="s">
        <v>167</v>
      </c>
      <c r="E15">
        <v>6479.2799999999988</v>
      </c>
      <c r="G15" s="9" t="s">
        <v>138</v>
      </c>
      <c r="H15">
        <v>4297.6299999999992</v>
      </c>
      <c r="J15" s="9" t="s">
        <v>167</v>
      </c>
      <c r="K15">
        <v>72</v>
      </c>
    </row>
    <row r="16" spans="1:11" x14ac:dyDescent="0.3">
      <c r="D16" s="9" t="s">
        <v>154</v>
      </c>
      <c r="E16">
        <v>1127.0600000000004</v>
      </c>
      <c r="G16" s="9" t="s">
        <v>139</v>
      </c>
      <c r="H16">
        <v>2783.72</v>
      </c>
      <c r="J16" s="9" t="s">
        <v>154</v>
      </c>
      <c r="K16">
        <v>94</v>
      </c>
    </row>
    <row r="17" spans="4:11" x14ac:dyDescent="0.3">
      <c r="D17" s="9" t="s">
        <v>155</v>
      </c>
      <c r="E17">
        <v>4259.2899999999981</v>
      </c>
      <c r="G17" s="9" t="s">
        <v>140</v>
      </c>
      <c r="H17">
        <v>2912.6400000000003</v>
      </c>
      <c r="J17" s="9" t="s">
        <v>155</v>
      </c>
      <c r="K17">
        <v>71</v>
      </c>
    </row>
    <row r="18" spans="4:11" x14ac:dyDescent="0.3">
      <c r="D18" s="9" t="s">
        <v>157</v>
      </c>
      <c r="E18">
        <v>11400</v>
      </c>
      <c r="G18" s="9" t="s">
        <v>141</v>
      </c>
      <c r="H18">
        <v>3654.4699999999993</v>
      </c>
      <c r="J18" s="9" t="s">
        <v>157</v>
      </c>
      <c r="K18">
        <v>95</v>
      </c>
    </row>
    <row r="19" spans="4:11" x14ac:dyDescent="0.3">
      <c r="D19" s="9" t="s">
        <v>164</v>
      </c>
      <c r="E19">
        <v>2359.4100000000003</v>
      </c>
      <c r="G19" s="9" t="s">
        <v>142</v>
      </c>
      <c r="H19">
        <v>3694.4299999999994</v>
      </c>
      <c r="J19" s="9" t="s">
        <v>164</v>
      </c>
      <c r="K19">
        <v>59</v>
      </c>
    </row>
    <row r="20" spans="4:11" x14ac:dyDescent="0.3">
      <c r="D20" s="9" t="s">
        <v>153</v>
      </c>
      <c r="E20">
        <v>662.5</v>
      </c>
      <c r="G20" s="9" t="s">
        <v>143</v>
      </c>
      <c r="H20">
        <v>3018.5199999999995</v>
      </c>
      <c r="J20" s="9" t="s">
        <v>153</v>
      </c>
      <c r="K20">
        <v>53</v>
      </c>
    </row>
    <row r="21" spans="4:11" x14ac:dyDescent="0.3">
      <c r="D21" s="9" t="s">
        <v>161</v>
      </c>
      <c r="E21">
        <v>7279.0899999999974</v>
      </c>
      <c r="G21" s="9" t="s">
        <v>144</v>
      </c>
      <c r="H21">
        <v>2562.6100000000006</v>
      </c>
      <c r="J21" s="9" t="s">
        <v>161</v>
      </c>
      <c r="K21">
        <v>91</v>
      </c>
    </row>
    <row r="22" spans="4:11" x14ac:dyDescent="0.3">
      <c r="D22" s="9" t="s">
        <v>169</v>
      </c>
      <c r="E22">
        <v>975.39000000000021</v>
      </c>
      <c r="G22" s="9" t="s">
        <v>145</v>
      </c>
      <c r="H22">
        <v>2646.9499999999989</v>
      </c>
      <c r="J22" s="9" t="s">
        <v>169</v>
      </c>
      <c r="K22">
        <v>61</v>
      </c>
    </row>
    <row r="23" spans="4:11" x14ac:dyDescent="0.3">
      <c r="D23" s="9" t="s">
        <v>158</v>
      </c>
      <c r="E23">
        <v>1600</v>
      </c>
      <c r="G23" s="9" t="s">
        <v>146</v>
      </c>
      <c r="H23">
        <v>2326.13</v>
      </c>
      <c r="J23" s="9" t="s">
        <v>158</v>
      </c>
      <c r="K23">
        <v>80</v>
      </c>
    </row>
    <row r="24" spans="4:11" x14ac:dyDescent="0.3">
      <c r="D24" s="9" t="s">
        <v>171</v>
      </c>
      <c r="E24">
        <v>65489.18</v>
      </c>
      <c r="G24" s="9" t="s">
        <v>171</v>
      </c>
      <c r="H24">
        <v>65489.179999999993</v>
      </c>
      <c r="J24" s="9" t="s">
        <v>171</v>
      </c>
      <c r="K24">
        <v>1462</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Sales Data</vt:lpstr>
      <vt:lpstr>Pivot 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vinith D</dc:creator>
  <cp:lastModifiedBy>vinith D</cp:lastModifiedBy>
  <dcterms:created xsi:type="dcterms:W3CDTF">2026-02-05T13:47:18Z</dcterms:created>
  <dcterms:modified xsi:type="dcterms:W3CDTF">2026-02-06T13:25:58Z</dcterms:modified>
</cp:coreProperties>
</file>